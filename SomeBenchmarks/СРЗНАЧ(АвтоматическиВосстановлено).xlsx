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iplomAPI\SomeBenchmarks\"/>
    </mc:Choice>
  </mc:AlternateContent>
  <xr:revisionPtr revIDLastSave="0" documentId="13_ncr:1_{DE1B0670-7F08-4A58-B9B9-D3D7B621D100}" xr6:coauthVersionLast="47" xr6:coauthVersionMax="47" xr10:uidLastSave="{00000000-0000-0000-0000-000000000000}"/>
  <bookViews>
    <workbookView xWindow="-120" yWindow="-120" windowWidth="29040" windowHeight="15720" activeTab="3" xr2:uid="{17BA90DB-EAC0-4426-840B-1E7026F1E105}"/>
  </bookViews>
  <sheets>
    <sheet name="!bench (5)" sheetId="7" r:id="rId1"/>
    <sheet name="B_S_RULES" sheetId="8" r:id="rId2"/>
    <sheet name="B_S_INSTR" sheetId="9" r:id="rId3"/>
    <sheet name="SUM_INSTR" sheetId="10" r:id="rId4"/>
    <sheet name="SUM" sheetId="11" r:id="rId5"/>
    <sheet name="!bench (4)" sheetId="6" r:id="rId6"/>
    <sheet name="!bench (3)" sheetId="4" r:id="rId7"/>
    <sheet name="!bench" sheetId="2" r:id="rId8"/>
  </sheets>
  <definedNames>
    <definedName name="ExternalData_1" localSheetId="7" hidden="1">'!bench'!$A$1:$L$30</definedName>
    <definedName name="ExternalData_1" localSheetId="5" hidden="1">'!bench (4)'!$A$1:$L$35</definedName>
    <definedName name="ExternalData_1" localSheetId="4" hidden="1">SUM!$A$17:$N$53</definedName>
    <definedName name="ExternalData_2" localSheetId="0" hidden="1">'!bench (5)'!#REF!</definedName>
    <definedName name="ExternalData_2" localSheetId="1" hidden="1">B_S_RULES!$A$1:$M$31</definedName>
    <definedName name="ExternalData_3" localSheetId="6" hidden="1">'!bench (3)'!$A$1:$L$35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9" l="1"/>
  <c r="J13" i="9"/>
  <c r="I14" i="9"/>
  <c r="I15" i="9"/>
  <c r="I16" i="9"/>
  <c r="I17" i="9"/>
  <c r="C14" i="9"/>
  <c r="C15" i="9"/>
  <c r="C16" i="9"/>
  <c r="C17" i="9"/>
  <c r="C13" i="9"/>
  <c r="H8" i="9"/>
  <c r="H9" i="9"/>
  <c r="H10" i="9"/>
  <c r="H11" i="9"/>
  <c r="H7" i="9"/>
  <c r="H9" i="10"/>
  <c r="J14" i="9"/>
  <c r="J15" i="9"/>
  <c r="J16" i="9"/>
  <c r="J17" i="9"/>
  <c r="J8" i="9"/>
  <c r="J9" i="9"/>
  <c r="J10" i="9"/>
  <c r="J11" i="9"/>
  <c r="J7" i="9"/>
  <c r="C50" i="8"/>
  <c r="D50" i="8"/>
  <c r="E50" i="8"/>
  <c r="F50" i="8"/>
  <c r="G50" i="8"/>
  <c r="H50" i="8"/>
  <c r="I50" i="8"/>
  <c r="J50" i="8"/>
  <c r="K50" i="8"/>
  <c r="L50" i="8"/>
  <c r="M50" i="8"/>
  <c r="C51" i="8"/>
  <c r="D51" i="8"/>
  <c r="E51" i="8"/>
  <c r="F51" i="8"/>
  <c r="G51" i="8"/>
  <c r="H51" i="8"/>
  <c r="I51" i="8"/>
  <c r="J51" i="8"/>
  <c r="K51" i="8"/>
  <c r="L51" i="8"/>
  <c r="M51" i="8"/>
  <c r="C52" i="8"/>
  <c r="D52" i="8"/>
  <c r="E52" i="8"/>
  <c r="F52" i="8"/>
  <c r="G52" i="8"/>
  <c r="H52" i="8"/>
  <c r="I52" i="8"/>
  <c r="J52" i="8"/>
  <c r="K52" i="8"/>
  <c r="L52" i="8"/>
  <c r="M52" i="8"/>
  <c r="C53" i="8"/>
  <c r="D53" i="8"/>
  <c r="E53" i="8"/>
  <c r="F53" i="8"/>
  <c r="G53" i="8"/>
  <c r="H53" i="8"/>
  <c r="I53" i="8"/>
  <c r="J53" i="8"/>
  <c r="K53" i="8"/>
  <c r="L53" i="8"/>
  <c r="M53" i="8"/>
  <c r="C54" i="8"/>
  <c r="D54" i="8"/>
  <c r="E54" i="8"/>
  <c r="F54" i="8"/>
  <c r="G54" i="8"/>
  <c r="H54" i="8"/>
  <c r="I54" i="8"/>
  <c r="J54" i="8"/>
  <c r="K54" i="8"/>
  <c r="L54" i="8"/>
  <c r="M54" i="8"/>
  <c r="C55" i="8"/>
  <c r="D55" i="8"/>
  <c r="E55" i="8"/>
  <c r="F55" i="8"/>
  <c r="G55" i="8"/>
  <c r="H55" i="8"/>
  <c r="I55" i="8"/>
  <c r="J55" i="8"/>
  <c r="K55" i="8"/>
  <c r="L55" i="8"/>
  <c r="M55" i="8"/>
  <c r="C49" i="8"/>
  <c r="D49" i="8"/>
  <c r="E49" i="8"/>
  <c r="F49" i="8"/>
  <c r="G49" i="8"/>
  <c r="H49" i="8"/>
  <c r="I49" i="8"/>
  <c r="J49" i="8"/>
  <c r="K49" i="8"/>
  <c r="L49" i="8"/>
  <c r="M49" i="8"/>
  <c r="B55" i="8"/>
  <c r="B54" i="8"/>
  <c r="B53" i="8"/>
  <c r="B52" i="8"/>
  <c r="B51" i="8"/>
  <c r="B50" i="8"/>
  <c r="B49" i="8"/>
  <c r="A55" i="8"/>
  <c r="A54" i="8"/>
  <c r="A50" i="8"/>
  <c r="A51" i="8"/>
  <c r="A52" i="8"/>
  <c r="A53" i="8"/>
  <c r="A49" i="8"/>
  <c r="A16" i="10"/>
  <c r="A17" i="10"/>
  <c r="A18" i="10"/>
  <c r="A19" i="10"/>
  <c r="A20" i="10"/>
  <c r="A15" i="10"/>
  <c r="F16" i="10"/>
  <c r="F17" i="10"/>
  <c r="F18" i="10"/>
  <c r="F19" i="10"/>
  <c r="F20" i="10"/>
  <c r="F15" i="10"/>
  <c r="L16" i="10"/>
  <c r="L17" i="10"/>
  <c r="L18" i="10"/>
  <c r="L19" i="10"/>
  <c r="L20" i="10"/>
  <c r="L15" i="10"/>
  <c r="K16" i="10"/>
  <c r="K17" i="10"/>
  <c r="K18" i="10"/>
  <c r="K19" i="10"/>
  <c r="K20" i="10"/>
  <c r="K15" i="10"/>
  <c r="J16" i="10"/>
  <c r="J17" i="10"/>
  <c r="J18" i="10"/>
  <c r="J19" i="10"/>
  <c r="J20" i="10"/>
  <c r="J15" i="10"/>
  <c r="E19" i="10"/>
  <c r="E20" i="10"/>
  <c r="C73" i="11"/>
  <c r="D73" i="11"/>
  <c r="E73" i="11"/>
  <c r="F73" i="11"/>
  <c r="G73" i="11"/>
  <c r="H73" i="11"/>
  <c r="I73" i="11"/>
  <c r="J73" i="11"/>
  <c r="K73" i="11"/>
  <c r="L73" i="11"/>
  <c r="C72" i="11"/>
  <c r="D72" i="11"/>
  <c r="E72" i="11"/>
  <c r="F72" i="11"/>
  <c r="G72" i="11"/>
  <c r="H72" i="11"/>
  <c r="I72" i="11"/>
  <c r="J72" i="11"/>
  <c r="K72" i="11"/>
  <c r="L72" i="11"/>
  <c r="C71" i="11"/>
  <c r="D71" i="11"/>
  <c r="E71" i="11"/>
  <c r="F71" i="11"/>
  <c r="G71" i="11"/>
  <c r="H71" i="11"/>
  <c r="I71" i="11"/>
  <c r="J71" i="11"/>
  <c r="K71" i="11"/>
  <c r="L71" i="11"/>
  <c r="C70" i="11"/>
  <c r="D70" i="11"/>
  <c r="E70" i="11"/>
  <c r="F70" i="11"/>
  <c r="G70" i="11"/>
  <c r="H70" i="11"/>
  <c r="I70" i="11"/>
  <c r="J70" i="11"/>
  <c r="K70" i="11"/>
  <c r="L70" i="11"/>
  <c r="C69" i="11"/>
  <c r="D69" i="11"/>
  <c r="E69" i="11"/>
  <c r="F69" i="11"/>
  <c r="G69" i="11"/>
  <c r="H69" i="11"/>
  <c r="I69" i="11"/>
  <c r="J69" i="11"/>
  <c r="K69" i="11"/>
  <c r="L69" i="11"/>
  <c r="C68" i="11"/>
  <c r="D68" i="11"/>
  <c r="E68" i="11"/>
  <c r="F68" i="11"/>
  <c r="G68" i="11"/>
  <c r="H68" i="11"/>
  <c r="I68" i="11"/>
  <c r="J68" i="11"/>
  <c r="K68" i="11"/>
  <c r="L68" i="11"/>
  <c r="B73" i="11"/>
  <c r="B72" i="11"/>
  <c r="B71" i="11"/>
  <c r="B70" i="11"/>
  <c r="B69" i="11"/>
  <c r="B68" i="11"/>
  <c r="M68" i="11"/>
  <c r="A69" i="11"/>
  <c r="A70" i="11"/>
  <c r="A71" i="11"/>
  <c r="A72" i="11"/>
  <c r="A73" i="11"/>
  <c r="A68" i="11"/>
  <c r="M62" i="11"/>
  <c r="M63" i="11"/>
  <c r="M64" i="11"/>
  <c r="M65" i="11"/>
  <c r="M66" i="11"/>
  <c r="C62" i="11"/>
  <c r="D62" i="11"/>
  <c r="E62" i="11"/>
  <c r="F62" i="11"/>
  <c r="G62" i="11"/>
  <c r="H62" i="11"/>
  <c r="I62" i="11"/>
  <c r="J62" i="11"/>
  <c r="K62" i="11"/>
  <c r="L62" i="11"/>
  <c r="C63" i="11"/>
  <c r="D63" i="11"/>
  <c r="E63" i="11"/>
  <c r="F63" i="11"/>
  <c r="G63" i="11"/>
  <c r="H63" i="11"/>
  <c r="I63" i="11"/>
  <c r="J63" i="11"/>
  <c r="K63" i="11"/>
  <c r="L63" i="11"/>
  <c r="C64" i="11"/>
  <c r="D64" i="11"/>
  <c r="E64" i="11"/>
  <c r="F64" i="11"/>
  <c r="G64" i="11"/>
  <c r="H64" i="11"/>
  <c r="I64" i="11"/>
  <c r="J64" i="11"/>
  <c r="K64" i="11"/>
  <c r="L64" i="11"/>
  <c r="C65" i="11"/>
  <c r="D65" i="11"/>
  <c r="E65" i="11"/>
  <c r="F65" i="11"/>
  <c r="G65" i="11"/>
  <c r="H65" i="11"/>
  <c r="I65" i="11"/>
  <c r="J65" i="11"/>
  <c r="K65" i="11"/>
  <c r="L65" i="11"/>
  <c r="C66" i="11"/>
  <c r="D66" i="11"/>
  <c r="E66" i="11"/>
  <c r="F66" i="11"/>
  <c r="G66" i="11"/>
  <c r="H66" i="11"/>
  <c r="I66" i="11"/>
  <c r="J66" i="11"/>
  <c r="K66" i="11"/>
  <c r="L66" i="11"/>
  <c r="B62" i="11"/>
  <c r="B63" i="11"/>
  <c r="B64" i="11"/>
  <c r="B65" i="11"/>
  <c r="B66" i="11"/>
  <c r="B61" i="11"/>
  <c r="C54" i="11"/>
  <c r="C61" i="11" s="1"/>
  <c r="D54" i="11"/>
  <c r="D61" i="11" s="1"/>
  <c r="E54" i="11"/>
  <c r="E61" i="11" s="1"/>
  <c r="F54" i="11"/>
  <c r="F61" i="11" s="1"/>
  <c r="G54" i="11"/>
  <c r="G61" i="11" s="1"/>
  <c r="H54" i="11"/>
  <c r="H61" i="11" s="1"/>
  <c r="I54" i="11"/>
  <c r="I61" i="11" s="1"/>
  <c r="J54" i="11"/>
  <c r="J61" i="11" s="1"/>
  <c r="K54" i="11"/>
  <c r="K61" i="11" s="1"/>
  <c r="L54" i="11"/>
  <c r="L61" i="11" s="1"/>
  <c r="M54" i="11"/>
  <c r="M61" i="11" s="1"/>
  <c r="C55" i="11"/>
  <c r="D55" i="11"/>
  <c r="E55" i="11"/>
  <c r="F55" i="11"/>
  <c r="G55" i="11"/>
  <c r="H55" i="11"/>
  <c r="I55" i="11"/>
  <c r="J55" i="11"/>
  <c r="K55" i="11"/>
  <c r="L55" i="11"/>
  <c r="M55" i="11"/>
  <c r="C56" i="11"/>
  <c r="D56" i="11"/>
  <c r="E56" i="11"/>
  <c r="F56" i="11"/>
  <c r="G56" i="11"/>
  <c r="H56" i="11"/>
  <c r="I56" i="11"/>
  <c r="J56" i="11"/>
  <c r="K56" i="11"/>
  <c r="L56" i="11"/>
  <c r="M56" i="11"/>
  <c r="C57" i="11"/>
  <c r="D57" i="11"/>
  <c r="E57" i="11"/>
  <c r="F57" i="11"/>
  <c r="G57" i="11"/>
  <c r="H57" i="11"/>
  <c r="I57" i="11"/>
  <c r="J57" i="11"/>
  <c r="K57" i="11"/>
  <c r="L57" i="11"/>
  <c r="M57" i="11"/>
  <c r="C58" i="11"/>
  <c r="D58" i="11"/>
  <c r="E58" i="11"/>
  <c r="F58" i="11"/>
  <c r="G58" i="11"/>
  <c r="H58" i="11"/>
  <c r="I58" i="11"/>
  <c r="J58" i="11"/>
  <c r="K58" i="11"/>
  <c r="L58" i="11"/>
  <c r="M58" i="11"/>
  <c r="C59" i="11"/>
  <c r="D59" i="11"/>
  <c r="E59" i="11"/>
  <c r="F59" i="11"/>
  <c r="G59" i="11"/>
  <c r="H59" i="11"/>
  <c r="I59" i="11"/>
  <c r="J59" i="11"/>
  <c r="K59" i="11"/>
  <c r="L59" i="11"/>
  <c r="M59" i="11"/>
  <c r="B55" i="11"/>
  <c r="B56" i="11"/>
  <c r="B57" i="11"/>
  <c r="B58" i="11"/>
  <c r="B59" i="11"/>
  <c r="B54" i="11"/>
  <c r="B10" i="10"/>
  <c r="C10" i="10"/>
  <c r="E10" i="10"/>
  <c r="E16" i="10" s="1"/>
  <c r="B11" i="10"/>
  <c r="C11" i="10"/>
  <c r="E11" i="10"/>
  <c r="E17" i="10" s="1"/>
  <c r="B12" i="10"/>
  <c r="C12" i="10"/>
  <c r="E12" i="10"/>
  <c r="E18" i="10" s="1"/>
  <c r="B13" i="10"/>
  <c r="C13" i="10"/>
  <c r="E13" i="10"/>
  <c r="B14" i="10"/>
  <c r="C14" i="10"/>
  <c r="E14" i="10"/>
  <c r="B9" i="10"/>
  <c r="C9" i="10"/>
  <c r="E15" i="10" s="1"/>
  <c r="O10" i="10"/>
  <c r="O11" i="10"/>
  <c r="O12" i="10"/>
  <c r="O13" i="10"/>
  <c r="O14" i="10"/>
  <c r="O9" i="10"/>
  <c r="K9" i="10"/>
  <c r="L9" i="10"/>
  <c r="M9" i="10"/>
  <c r="K10" i="10"/>
  <c r="L10" i="10"/>
  <c r="M10" i="10"/>
  <c r="K11" i="10"/>
  <c r="L11" i="10"/>
  <c r="M11" i="10"/>
  <c r="K12" i="10"/>
  <c r="L12" i="10"/>
  <c r="M12" i="10"/>
  <c r="K13" i="10"/>
  <c r="L13" i="10"/>
  <c r="M13" i="10"/>
  <c r="K14" i="10"/>
  <c r="L14" i="10"/>
  <c r="M14" i="10"/>
  <c r="J10" i="10"/>
  <c r="J11" i="10"/>
  <c r="J12" i="10"/>
  <c r="J13" i="10"/>
  <c r="J14" i="10"/>
  <c r="J9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E9" i="10"/>
  <c r="A10" i="10"/>
  <c r="A11" i="10"/>
  <c r="A12" i="10"/>
  <c r="A13" i="10"/>
  <c r="A14" i="10"/>
  <c r="A9" i="10"/>
  <c r="G7" i="9"/>
  <c r="G8" i="9"/>
  <c r="G9" i="9"/>
  <c r="G10" i="9"/>
  <c r="G11" i="9"/>
  <c r="F8" i="9"/>
  <c r="F9" i="9"/>
  <c r="F10" i="9"/>
  <c r="F11" i="9"/>
  <c r="F7" i="9"/>
  <c r="L7" i="9"/>
  <c r="L8" i="9"/>
  <c r="L9" i="9"/>
  <c r="L10" i="9"/>
  <c r="L11" i="9"/>
  <c r="K8" i="9"/>
  <c r="K9" i="9"/>
  <c r="K10" i="9"/>
  <c r="K11" i="9"/>
  <c r="K7" i="9"/>
  <c r="C46" i="8"/>
  <c r="D46" i="8"/>
  <c r="E46" i="8"/>
  <c r="F46" i="8"/>
  <c r="G46" i="8"/>
  <c r="H46" i="8"/>
  <c r="I46" i="8"/>
  <c r="J46" i="8"/>
  <c r="K46" i="8"/>
  <c r="L46" i="8"/>
  <c r="M46" i="8"/>
  <c r="C47" i="8"/>
  <c r="D47" i="8"/>
  <c r="E47" i="8"/>
  <c r="F47" i="8"/>
  <c r="G47" i="8"/>
  <c r="H47" i="8"/>
  <c r="I47" i="8"/>
  <c r="J47" i="8"/>
  <c r="K47" i="8"/>
  <c r="L47" i="8"/>
  <c r="M47" i="8"/>
  <c r="B47" i="8"/>
  <c r="B46" i="8"/>
  <c r="A47" i="8"/>
  <c r="A46" i="8"/>
  <c r="M33" i="8"/>
  <c r="C33" i="8"/>
  <c r="D33" i="8"/>
  <c r="E33" i="8"/>
  <c r="F33" i="8"/>
  <c r="G33" i="8"/>
  <c r="H33" i="8"/>
  <c r="I33" i="8"/>
  <c r="J33" i="8"/>
  <c r="K33" i="8"/>
  <c r="L33" i="8"/>
  <c r="C34" i="8"/>
  <c r="D34" i="8"/>
  <c r="E34" i="8"/>
  <c r="F34" i="8"/>
  <c r="G34" i="8"/>
  <c r="H34" i="8"/>
  <c r="I34" i="8"/>
  <c r="J34" i="8"/>
  <c r="K34" i="8"/>
  <c r="L34" i="8"/>
  <c r="M34" i="8"/>
  <c r="C35" i="8"/>
  <c r="D35" i="8"/>
  <c r="E35" i="8"/>
  <c r="F35" i="8"/>
  <c r="G35" i="8"/>
  <c r="H35" i="8"/>
  <c r="I35" i="8"/>
  <c r="J35" i="8"/>
  <c r="K35" i="8"/>
  <c r="L35" i="8"/>
  <c r="M35" i="8"/>
  <c r="C36" i="8"/>
  <c r="D36" i="8"/>
  <c r="E36" i="8"/>
  <c r="F36" i="8"/>
  <c r="G36" i="8"/>
  <c r="H36" i="8"/>
  <c r="I36" i="8"/>
  <c r="J36" i="8"/>
  <c r="K36" i="8"/>
  <c r="L36" i="8"/>
  <c r="M36" i="8"/>
  <c r="C37" i="8"/>
  <c r="D37" i="8"/>
  <c r="E37" i="8"/>
  <c r="F37" i="8"/>
  <c r="G37" i="8"/>
  <c r="H37" i="8"/>
  <c r="I37" i="8"/>
  <c r="J37" i="8"/>
  <c r="K37" i="8"/>
  <c r="L37" i="8"/>
  <c r="M37" i="8"/>
  <c r="B34" i="8"/>
  <c r="B35" i="8"/>
  <c r="B36" i="8"/>
  <c r="B37" i="8"/>
  <c r="B33" i="8"/>
  <c r="B45" i="6"/>
  <c r="E50" i="6"/>
  <c r="F50" i="6"/>
  <c r="G50" i="6"/>
  <c r="H50" i="6"/>
  <c r="I50" i="6"/>
  <c r="J50" i="6"/>
  <c r="K50" i="6"/>
  <c r="L50" i="6"/>
  <c r="E49" i="6"/>
  <c r="F49" i="6"/>
  <c r="G49" i="6"/>
  <c r="H49" i="6"/>
  <c r="I49" i="6"/>
  <c r="J49" i="6"/>
  <c r="K49" i="6"/>
  <c r="L49" i="6"/>
  <c r="E48" i="6"/>
  <c r="F48" i="6"/>
  <c r="G48" i="6"/>
  <c r="H48" i="6"/>
  <c r="I48" i="6"/>
  <c r="J48" i="6"/>
  <c r="K48" i="6"/>
  <c r="L48" i="6"/>
  <c r="E47" i="6"/>
  <c r="F47" i="6"/>
  <c r="G47" i="6"/>
  <c r="H47" i="6"/>
  <c r="I47" i="6"/>
  <c r="J47" i="6"/>
  <c r="K47" i="6"/>
  <c r="L47" i="6"/>
  <c r="B49" i="6"/>
  <c r="B46" i="6"/>
  <c r="B47" i="6"/>
  <c r="B48" i="6"/>
  <c r="B50" i="6"/>
  <c r="A45" i="6"/>
  <c r="C38" i="2"/>
  <c r="L42" i="6"/>
  <c r="B37" i="6"/>
  <c r="A46" i="6"/>
  <c r="A47" i="6"/>
  <c r="A48" i="6"/>
  <c r="A49" i="6"/>
  <c r="A50" i="6"/>
  <c r="C37" i="6"/>
  <c r="D37" i="6"/>
  <c r="D43" i="6" s="1"/>
  <c r="E37" i="6"/>
  <c r="E43" i="6" s="1"/>
  <c r="F37" i="6"/>
  <c r="F43" i="6" s="1"/>
  <c r="G37" i="6"/>
  <c r="G43" i="6" s="1"/>
  <c r="H37" i="6"/>
  <c r="H43" i="6" s="1"/>
  <c r="I37" i="6"/>
  <c r="I43" i="6" s="1"/>
  <c r="J37" i="6"/>
  <c r="J43" i="6" s="1"/>
  <c r="K37" i="6"/>
  <c r="K43" i="6" s="1"/>
  <c r="L37" i="6"/>
  <c r="L43" i="6" s="1"/>
  <c r="C38" i="6"/>
  <c r="D38" i="6"/>
  <c r="E38" i="6"/>
  <c r="F38" i="6"/>
  <c r="G38" i="6"/>
  <c r="H38" i="6"/>
  <c r="I38" i="6"/>
  <c r="J38" i="6"/>
  <c r="K38" i="6"/>
  <c r="L38" i="6"/>
  <c r="C39" i="6"/>
  <c r="D39" i="6"/>
  <c r="E39" i="6"/>
  <c r="F39" i="6"/>
  <c r="G39" i="6"/>
  <c r="H39" i="6"/>
  <c r="I39" i="6"/>
  <c r="J39" i="6"/>
  <c r="K39" i="6"/>
  <c r="L39" i="6"/>
  <c r="C40" i="6"/>
  <c r="D40" i="6"/>
  <c r="E40" i="6"/>
  <c r="F40" i="6"/>
  <c r="G40" i="6"/>
  <c r="H40" i="6"/>
  <c r="I40" i="6"/>
  <c r="J40" i="6"/>
  <c r="K40" i="6"/>
  <c r="L40" i="6"/>
  <c r="C41" i="6"/>
  <c r="D41" i="6"/>
  <c r="E41" i="6"/>
  <c r="F41" i="6"/>
  <c r="G41" i="6"/>
  <c r="H41" i="6"/>
  <c r="I41" i="6"/>
  <c r="J41" i="6"/>
  <c r="K41" i="6"/>
  <c r="L41" i="6"/>
  <c r="C42" i="6"/>
  <c r="D42" i="6"/>
  <c r="E42" i="6"/>
  <c r="F42" i="6"/>
  <c r="G42" i="6"/>
  <c r="H42" i="6"/>
  <c r="I42" i="6"/>
  <c r="J42" i="6"/>
  <c r="K42" i="6"/>
  <c r="B38" i="6"/>
  <c r="B39" i="6"/>
  <c r="B40" i="6"/>
  <c r="B41" i="6"/>
  <c r="B42" i="6"/>
  <c r="C37" i="4"/>
  <c r="D37" i="4"/>
  <c r="E37" i="4"/>
  <c r="F37" i="4"/>
  <c r="G37" i="4"/>
  <c r="H37" i="4"/>
  <c r="I37" i="4"/>
  <c r="J37" i="4"/>
  <c r="K37" i="4"/>
  <c r="L37" i="4"/>
  <c r="C38" i="4"/>
  <c r="D38" i="4"/>
  <c r="E38" i="4"/>
  <c r="F38" i="4"/>
  <c r="G38" i="4"/>
  <c r="H38" i="4"/>
  <c r="I38" i="4"/>
  <c r="J38" i="4"/>
  <c r="K38" i="4"/>
  <c r="L38" i="4"/>
  <c r="C39" i="4"/>
  <c r="D39" i="4"/>
  <c r="E39" i="4"/>
  <c r="F39" i="4"/>
  <c r="G39" i="4"/>
  <c r="H39" i="4"/>
  <c r="I39" i="4"/>
  <c r="J39" i="4"/>
  <c r="K39" i="4"/>
  <c r="L39" i="4"/>
  <c r="C40" i="4"/>
  <c r="D40" i="4"/>
  <c r="E40" i="4"/>
  <c r="F40" i="4"/>
  <c r="G40" i="4"/>
  <c r="H40" i="4"/>
  <c r="I40" i="4"/>
  <c r="J40" i="4"/>
  <c r="K40" i="4"/>
  <c r="L40" i="4"/>
  <c r="C41" i="4"/>
  <c r="D41" i="4"/>
  <c r="E41" i="4"/>
  <c r="F41" i="4"/>
  <c r="G41" i="4"/>
  <c r="H41" i="4"/>
  <c r="I41" i="4"/>
  <c r="J41" i="4"/>
  <c r="K41" i="4"/>
  <c r="L41" i="4"/>
  <c r="C42" i="4"/>
  <c r="D42" i="4"/>
  <c r="E42" i="4"/>
  <c r="F42" i="4"/>
  <c r="G42" i="4"/>
  <c r="H42" i="4"/>
  <c r="I42" i="4"/>
  <c r="J42" i="4"/>
  <c r="K42" i="4"/>
  <c r="L42" i="4"/>
  <c r="B38" i="4"/>
  <c r="B39" i="4"/>
  <c r="B40" i="4"/>
  <c r="B41" i="4"/>
  <c r="B42" i="4"/>
  <c r="B37" i="4"/>
  <c r="A42" i="4"/>
  <c r="A38" i="4"/>
  <c r="A39" i="4"/>
  <c r="A40" i="4"/>
  <c r="A41" i="4"/>
  <c r="A37" i="4"/>
  <c r="C39" i="2"/>
  <c r="C40" i="2"/>
  <c r="C41" i="2"/>
  <c r="C42" i="2"/>
  <c r="L36" i="2"/>
  <c r="K36" i="2"/>
  <c r="J36" i="2"/>
  <c r="I36" i="2"/>
  <c r="H36" i="2"/>
  <c r="G36" i="2"/>
  <c r="F36" i="2"/>
  <c r="C32" i="2"/>
  <c r="D32" i="2"/>
  <c r="E32" i="2"/>
  <c r="F32" i="2"/>
  <c r="G32" i="2"/>
  <c r="H32" i="2"/>
  <c r="I32" i="2"/>
  <c r="J32" i="2"/>
  <c r="K32" i="2"/>
  <c r="L32" i="2"/>
  <c r="C33" i="2"/>
  <c r="D33" i="2"/>
  <c r="E33" i="2"/>
  <c r="F33" i="2"/>
  <c r="G33" i="2"/>
  <c r="H33" i="2"/>
  <c r="I33" i="2"/>
  <c r="J33" i="2"/>
  <c r="K33" i="2"/>
  <c r="L33" i="2"/>
  <c r="C34" i="2"/>
  <c r="D34" i="2"/>
  <c r="E34" i="2"/>
  <c r="F34" i="2"/>
  <c r="G34" i="2"/>
  <c r="H34" i="2"/>
  <c r="I34" i="2"/>
  <c r="J34" i="2"/>
  <c r="K34" i="2"/>
  <c r="L34" i="2"/>
  <c r="C35" i="2"/>
  <c r="D35" i="2"/>
  <c r="E35" i="2"/>
  <c r="F35" i="2"/>
  <c r="G35" i="2"/>
  <c r="H35" i="2"/>
  <c r="I35" i="2"/>
  <c r="J35" i="2"/>
  <c r="K35" i="2"/>
  <c r="L35" i="2"/>
  <c r="C36" i="2"/>
  <c r="D36" i="2"/>
  <c r="E36" i="2"/>
  <c r="B33" i="2"/>
  <c r="B34" i="2"/>
  <c r="B35" i="2"/>
  <c r="B36" i="2"/>
  <c r="B32" i="2"/>
  <c r="A33" i="2"/>
  <c r="A34" i="2"/>
  <c r="A35" i="2"/>
  <c r="A36" i="2"/>
  <c r="A32" i="2"/>
  <c r="J45" i="6" l="1"/>
  <c r="J46" i="6"/>
  <c r="I46" i="6"/>
  <c r="I45" i="6"/>
  <c r="F46" i="6"/>
  <c r="F45" i="6"/>
  <c r="L45" i="6"/>
  <c r="L46" i="6"/>
  <c r="H46" i="6"/>
  <c r="H45" i="6"/>
  <c r="G46" i="6"/>
  <c r="G45" i="6"/>
  <c r="E46" i="6"/>
  <c r="E45" i="6"/>
  <c r="K45" i="6"/>
  <c r="K46" i="6"/>
  <c r="D50" i="6"/>
  <c r="D48" i="6"/>
  <c r="D49" i="6"/>
  <c r="D47" i="6"/>
  <c r="D46" i="6"/>
  <c r="D4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5C685A-04B7-4C7D-A1F3-DA3CC9E3CDCF}" keepAlive="1" name="Запрос — !bench" description="Соединение с запросом &quot;!bench&quot; в книге." type="5" refreshedVersion="7" background="1" saveData="1">
    <dbPr connection="Provider=Microsoft.Mashup.OleDb.1;Data Source=$Workbook$;Location=!bench;Extended Properties=&quot;&quot;" command="SELECT * FROM [!bench]"/>
  </connection>
  <connection id="2" xr16:uid="{3EC2A258-EE0B-48AC-B84E-68D552A12965}" keepAlive="1" name="Запрос — !bench (2)" description="Соединение с запросом &quot;!bench (2)&quot; в книге." type="5" refreshedVersion="0" background="1">
    <dbPr connection="Provider=Microsoft.Mashup.OleDb.1;Data Source=$Workbook$;Location=&quot;!bench (2)&quot;;Extended Properties=&quot;&quot;" command="SELECT * FROM [!bench (2)]"/>
  </connection>
  <connection id="3" xr16:uid="{EDE62F28-FC04-44F2-B136-333F909C7F2B}" keepAlive="1" name="Запрос — !bench (3)" description="Соединение с запросом &quot;!bench (3)&quot; в книге." type="5" refreshedVersion="7" background="1" saveData="1">
    <dbPr connection="Provider=Microsoft.Mashup.OleDb.1;Data Source=$Workbook$;Location=&quot;!bench (3)&quot;;Extended Properties=&quot;&quot;" command="SELECT * FROM [!bench (3)]"/>
  </connection>
  <connection id="4" xr16:uid="{704E6911-2CE7-4971-A319-33129847DA09}" keepAlive="1" name="Запрос — !bench (4)" description="Соединение с запросом &quot;!bench (4)&quot; в книге." type="5" refreshedVersion="7" background="1" saveData="1">
    <dbPr connection="Provider=Microsoft.Mashup.OleDb.1;Data Source=$Workbook$;Location=&quot;!bench (4)&quot;;Extended Properties=&quot;&quot;" command="SELECT * FROM [!bench (4)]"/>
  </connection>
  <connection id="5" xr16:uid="{09AD09A9-8718-43F0-81FD-7AB80F6EE5B5}" keepAlive="1" name="Запрос — !bench (5)" description="Соединение с запросом &quot;!bench (5)&quot; в книге." type="5" refreshedVersion="0" background="1">
    <dbPr connection="Provider=Microsoft.Mashup.OleDb.1;Data Source=$Workbook$;Location=&quot;!bench (5)&quot;;Extended Properties=&quot;&quot;" command="SELECT * FROM [!bench (5)]"/>
  </connection>
  <connection id="6" xr16:uid="{1FB63FB5-C867-4ED0-A019-3ED5E589EA94}" keepAlive="1" name="Запрос — !bench (6)" description="Соединение с запросом &quot;!bench (6)&quot; в книге." type="5" refreshedVersion="7" background="1" saveData="1">
    <dbPr connection="Provider=Microsoft.Mashup.OleDb.1;Data Source=$Workbook$;Location=&quot;!bench (6)&quot;;Extended Properties=&quot;&quot;" command="SELECT * FROM [!bench (6)]"/>
  </connection>
  <connection id="7" xr16:uid="{7D0A4F0C-79D7-49C4-8593-B31D943F2CC3}" keepAlive="1" name="Запрос — !bench (7)" description="Соединение с запросом &quot;!bench (7)&quot; в книге." type="5" refreshedVersion="0" background="1">
    <dbPr connection="Provider=Microsoft.Mashup.OleDb.1;Data Source=$Workbook$;Location=&quot;!bench (7)&quot;;Extended Properties=&quot;&quot;" command="SELECT * FROM [!bench (7)]"/>
  </connection>
  <connection id="8" xr16:uid="{C81806BA-D0A7-40F9-BD07-C378FCD51A1F}" keepAlive="1" name="Запрос — !bench (8)" description="Соединение с запросом &quot;!bench (8)&quot; в книге." type="5" refreshedVersion="7" background="1" saveData="1">
    <dbPr connection="Provider=Microsoft.Mashup.OleDb.1;Data Source=$Workbook$;Location=&quot;!bench (8)&quot;;Extended Properties=&quot;&quot;" command="SELECT * FROM [!bench (8)]"/>
  </connection>
</connections>
</file>

<file path=xl/sharedStrings.xml><?xml version="1.0" encoding="utf-8"?>
<sst xmlns="http://schemas.openxmlformats.org/spreadsheetml/2006/main" count="597" uniqueCount="144">
  <si>
    <t xml:space="preserve">normal          </t>
  </si>
  <si>
    <t xml:space="preserve">iter            </t>
  </si>
  <si>
    <t xml:space="preserve">sse v1          </t>
  </si>
  <si>
    <t xml:space="preserve">sse v2          </t>
  </si>
  <si>
    <t xml:space="preserve">avx h           </t>
  </si>
  <si>
    <t/>
  </si>
  <si>
    <t>Название</t>
  </si>
  <si>
    <t>Среднее время</t>
  </si>
  <si>
    <t>Отклонение</t>
  </si>
  <si>
    <t>Мин</t>
  </si>
  <si>
    <t>Макс</t>
  </si>
  <si>
    <t>0.001%</t>
  </si>
  <si>
    <t>0.1%</t>
  </si>
  <si>
    <t>1%</t>
  </si>
  <si>
    <t>50%</t>
  </si>
  <si>
    <t>99%</t>
  </si>
  <si>
    <t>99.9%</t>
  </si>
  <si>
    <t>99.999%</t>
  </si>
  <si>
    <t>коэф.вариации</t>
  </si>
  <si>
    <t xml:space="preserve">Algorithm       </t>
  </si>
  <si>
    <t xml:space="preserve">        Avg </t>
  </si>
  <si>
    <t xml:space="preserve">     StdDev </t>
  </si>
  <si>
    <t xml:space="preserve">        Min </t>
  </si>
  <si>
    <t xml:space="preserve">        Max </t>
  </si>
  <si>
    <t xml:space="preserve">    p0.001% </t>
  </si>
  <si>
    <t xml:space="preserve">      p0.1% </t>
  </si>
  <si>
    <t xml:space="preserve">        p1% </t>
  </si>
  <si>
    <t xml:space="preserve">       p50% </t>
  </si>
  <si>
    <t xml:space="preserve">       p99% </t>
  </si>
  <si>
    <t xml:space="preserve">     p99.9% </t>
  </si>
  <si>
    <t xml:space="preserve">   p99.999%</t>
  </si>
  <si>
    <t xml:space="preserve">v lob           </t>
  </si>
  <si>
    <t>-</t>
  </si>
  <si>
    <t>name</t>
  </si>
  <si>
    <t>IPC</t>
  </si>
  <si>
    <t>CPI</t>
  </si>
  <si>
    <t>L1_ACCESS</t>
  </si>
  <si>
    <t>MISALIGNED_LOADS</t>
  </si>
  <si>
    <t>L2_by_L1_MISS</t>
  </si>
  <si>
    <t>0.01%</t>
  </si>
  <si>
    <t>99.99%</t>
  </si>
  <si>
    <t>SSE</t>
  </si>
  <si>
    <t>SSE 2</t>
  </si>
  <si>
    <t>AVX</t>
  </si>
  <si>
    <t>Среднее</t>
  </si>
  <si>
    <t>Наивный</t>
  </si>
  <si>
    <t>Скалярный</t>
  </si>
  <si>
    <t>Скалярный опт.</t>
  </si>
  <si>
    <t>Ср.Отклонение</t>
  </si>
  <si>
    <t xml:space="preserve">normal   </t>
  </si>
  <si>
    <t xml:space="preserve">norm o   </t>
  </si>
  <si>
    <t xml:space="preserve">bitset   </t>
  </si>
  <si>
    <t xml:space="preserve">buffered </t>
  </si>
  <si>
    <t xml:space="preserve">bit buf  </t>
  </si>
  <si>
    <t>СтОткл</t>
  </si>
  <si>
    <t>Коэф.Вариации</t>
  </si>
  <si>
    <t xml:space="preserve">sse  </t>
  </si>
  <si>
    <t xml:space="preserve">avx  </t>
  </si>
  <si>
    <t>CNIH</t>
  </si>
  <si>
    <t>В.Инст.Ветвл</t>
  </si>
  <si>
    <t>Мис.Ветлв.на.1000.вып.инстр</t>
  </si>
  <si>
    <t>Мис.Ветлв.на.1000.инстр</t>
  </si>
  <si>
    <t>OP_CACHE_MISS</t>
  </si>
  <si>
    <t>L2_HIT_FROM_L1_MISS</t>
  </si>
  <si>
    <t>L1_DC_ACCESSES</t>
  </si>
  <si>
    <t>Кол-во Вып.Инстр.Ветвл</t>
  </si>
  <si>
    <t>L2_ACCESS_FROM_L1_MISS</t>
  </si>
  <si>
    <t>L2_MISS_FROM_L1_MISS</t>
  </si>
  <si>
    <t>L1_DC_ACCESS(PTI)</t>
  </si>
  <si>
    <t>L1_DC_MISS_RATE(PTI)</t>
  </si>
  <si>
    <t>HW Prefetch Cache Fill</t>
  </si>
  <si>
    <t>Ret.Instr</t>
  </si>
  <si>
    <t>MissPredict of Retired Branch Instr</t>
  </si>
  <si>
    <t>В.Инст.Ветвл(PTI)</t>
  </si>
  <si>
    <t>итераций</t>
  </si>
  <si>
    <t>ширина_высота</t>
  </si>
  <si>
    <t>кол-во массивов</t>
  </si>
  <si>
    <t>bitset буф.</t>
  </si>
  <si>
    <t>буфер.</t>
  </si>
  <si>
    <t>Кол-во обращений к L2 из-за промаха в L1</t>
  </si>
  <si>
    <t>Количество не</t>
  </si>
  <si>
    <t>L1_DC_MISSES(PTI)</t>
  </si>
  <si>
    <t>Retired_Br_Instr_MISP(PTI)</t>
  </si>
  <si>
    <t>ExRetBrnTkn</t>
  </si>
  <si>
    <t>RETIRED_BR_INST_MISP (PTI)</t>
  </si>
  <si>
    <t>0.342</t>
  </si>
  <si>
    <t>25.271</t>
  </si>
  <si>
    <t>7.274</t>
  </si>
  <si>
    <t>6.961</t>
  </si>
  <si>
    <t>7.013</t>
  </si>
  <si>
    <t>5.893</t>
  </si>
  <si>
    <t>L1_DC_ACCESSES (PTI)</t>
  </si>
  <si>
    <t>374.179</t>
  </si>
  <si>
    <t>109348.947</t>
  </si>
  <si>
    <t>10350.535</t>
  </si>
  <si>
    <t>9822.301</t>
  </si>
  <si>
    <t>5472.546</t>
  </si>
  <si>
    <t>3243.829</t>
  </si>
  <si>
    <t>MISALIGNED_LOADS_RATIO</t>
  </si>
  <si>
    <t>1.181</t>
  </si>
  <si>
    <t>0.010</t>
  </si>
  <si>
    <t>0.154</t>
  </si>
  <si>
    <t>0.155</t>
  </si>
  <si>
    <t>0.016</t>
  </si>
  <si>
    <t>0.014</t>
  </si>
  <si>
    <t>RETIRED_INST</t>
  </si>
  <si>
    <t>ExRetNearRetMispredicted</t>
  </si>
  <si>
    <t>L2_CACHE_ACCESS_FROM_L1_DC_MISS</t>
  </si>
  <si>
    <t>L2_CACHE_MISS_FROM_L1_DC_MISS</t>
  </si>
  <si>
    <t>%L1_DC_MISSES</t>
  </si>
  <si>
    <t>214.799</t>
  </si>
  <si>
    <t>0.396</t>
  </si>
  <si>
    <t>8.981</t>
  </si>
  <si>
    <t>9.490</t>
  </si>
  <si>
    <t>17.313</t>
  </si>
  <si>
    <t>29.370</t>
  </si>
  <si>
    <t>The number of misaligned loads. On Zen3, this predefined count 64B (cacheline crossing) and 4K (page crossing) misaligned loads</t>
  </si>
  <si>
    <t xml:space="preserve">Name   </t>
  </si>
  <si>
    <t xml:space="preserve">           50% </t>
  </si>
  <si>
    <t xml:space="preserve">           99% </t>
  </si>
  <si>
    <t xml:space="preserve">normal </t>
  </si>
  <si>
    <t xml:space="preserve">v lob  </t>
  </si>
  <si>
    <t xml:space="preserve">iter   </t>
  </si>
  <si>
    <t xml:space="preserve">sse v1 </t>
  </si>
  <si>
    <t xml:space="preserve">sse v2 </t>
  </si>
  <si>
    <t xml:space="preserve">avx h  </t>
  </si>
  <si>
    <t>СрВр</t>
  </si>
  <si>
    <t>Коэф.вар</t>
  </si>
  <si>
    <t>Наивное</t>
  </si>
  <si>
    <t>Скалярное</t>
  </si>
  <si>
    <t>Скалярное опт.</t>
  </si>
  <si>
    <t>Столбец1</t>
  </si>
  <si>
    <t>Столбец14</t>
  </si>
  <si>
    <t>0,01%</t>
  </si>
  <si>
    <t>99,99%</t>
  </si>
  <si>
    <t>время в нс</t>
  </si>
  <si>
    <t>время в мкс</t>
  </si>
  <si>
    <t>0,1%</t>
  </si>
  <si>
    <t>99,9%</t>
  </si>
  <si>
    <t>PTI</t>
  </si>
  <si>
    <t>bitset</t>
  </si>
  <si>
    <t>наивное</t>
  </si>
  <si>
    <t>опт.</t>
  </si>
  <si>
    <t>L2_MISS_RATE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</si>
</sst>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"/>
    <numFmt numFmtId="166" formatCode="0.000000"/>
    <numFmt numFmtId="167" formatCode="0.000"/>
    <numFmt numFmtId="168" formatCode="0.0"/>
  </numFmts>
  <fonts count="2" x14ac:knownFonts="1">
    <font>
      <sz val="11"/>
      <color theme="1"/>
      <name val="Calibri"/>
      <family val="2"/>
      <charset val="204"/>
      <scheme val="minor"/>
    </font>
    <font>
      <sz val="9"/>
      <color rgb="FF008000"/>
      <name val="Cascadia Mono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1" xfId="0" applyNumberFormat="1" applyFont="1" applyBorder="1"/>
    <xf numFmtId="0" fontId="0" fillId="2" borderId="1" xfId="0" applyNumberFormat="1" applyFont="1" applyFill="1" applyBorder="1"/>
    <xf numFmtId="1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2" fontId="0" fillId="0" borderId="0" xfId="0" applyNumberFormat="1"/>
    <xf numFmtId="10" fontId="0" fillId="0" borderId="0" xfId="0" applyNumberFormat="1"/>
    <xf numFmtId="168" fontId="0" fillId="0" borderId="0" xfId="0" applyNumberFormat="1"/>
    <xf numFmtId="2" fontId="0" fillId="2" borderId="2" xfId="0" applyNumberFormat="1" applyFont="1" applyFill="1" applyBorder="1"/>
    <xf numFmtId="2" fontId="0" fillId="0" borderId="2" xfId="0" applyNumberFormat="1" applyFont="1" applyBorder="1"/>
    <xf numFmtId="168" fontId="0" fillId="2" borderId="2" xfId="0" applyNumberFormat="1" applyFont="1" applyFill="1" applyBorder="1"/>
    <xf numFmtId="168" fontId="0" fillId="0" borderId="2" xfId="0" applyNumberFormat="1" applyFont="1" applyBorder="1"/>
    <xf numFmtId="1" fontId="0" fillId="0" borderId="0" xfId="0" applyNumberFormat="1" applyAlignment="1"/>
    <xf numFmtId="2" fontId="1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Обычный" xfId="0" builtinId="0"/>
  </cellStyles>
  <dxfs count="64"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0" formatCode="General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0" formatCode="General"/>
    </dxf>
    <dxf>
      <numFmt numFmtId="0" formatCode="General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7" formatCode="0.000"/>
    </dxf>
    <dxf>
      <numFmt numFmtId="167" formatCode="0.000"/>
    </dxf>
    <dxf>
      <numFmt numFmtId="167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8" formatCode="0.0"/>
    </dxf>
    <dxf>
      <numFmt numFmtId="167" formatCode="0.000"/>
    </dxf>
    <dxf>
      <numFmt numFmtId="167" formatCode="0.0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'!bench (5)'!$B$1</c:f>
              <c:strCache>
                <c:ptCount val="1"/>
                <c:pt idx="0">
                  <c:v>IPC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880543069072616E-3"/>
                  <c:y val="-0.3239803878681831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AC-4C94-95E4-5BD83481208D}"/>
                </c:ext>
              </c:extLst>
            </c:dLbl>
            <c:dLbl>
              <c:idx val="1"/>
              <c:layout>
                <c:manualLayout>
                  <c:x val="-5.1113738489697729E-17"/>
                  <c:y val="-0.337419437153689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AC-4C94-95E4-5BD83481208D}"/>
                </c:ext>
              </c:extLst>
            </c:dLbl>
            <c:dLbl>
              <c:idx val="2"/>
              <c:layout>
                <c:manualLayout>
                  <c:x val="-1.0222747697939546E-16"/>
                  <c:y val="-0.3367107757363662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AC-4C94-95E4-5BD83481208D}"/>
                </c:ext>
              </c:extLst>
            </c:dLbl>
            <c:dLbl>
              <c:idx val="3"/>
              <c:layout>
                <c:manualLayout>
                  <c:x val="0"/>
                  <c:y val="-0.207838291046952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AC-4C94-95E4-5BD83481208D}"/>
                </c:ext>
              </c:extLst>
            </c:dLbl>
            <c:dLbl>
              <c:idx val="4"/>
              <c:layout>
                <c:manualLayout>
                  <c:x val="-1.0222747697939546E-16"/>
                  <c:y val="-0.386443569553805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AC-4C94-95E4-5BD83481208D}"/>
                </c:ext>
              </c:extLst>
            </c:dLbl>
            <c:dLbl>
              <c:idx val="5"/>
              <c:layout>
                <c:manualLayout>
                  <c:x val="2.7880543069072616E-3"/>
                  <c:y val="-0.30841571886847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AC-4C94-95E4-5BD83481208D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(5)'!$A$2:$A$7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(5)'!$B$2:$B$7</c:f>
              <c:numCache>
                <c:formatCode>0.000</c:formatCode>
                <c:ptCount val="6"/>
                <c:pt idx="0">
                  <c:v>3.331</c:v>
                </c:pt>
                <c:pt idx="1">
                  <c:v>3.39</c:v>
                </c:pt>
                <c:pt idx="2">
                  <c:v>3.38</c:v>
                </c:pt>
                <c:pt idx="3">
                  <c:v>1.9530000000000001</c:v>
                </c:pt>
                <c:pt idx="4">
                  <c:v>4.0819999999999999</c:v>
                </c:pt>
                <c:pt idx="5">
                  <c:v>3.242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C-4C94-95E4-5BD8348120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607856495"/>
        <c:axId val="1607868143"/>
      </c:barChart>
      <c:catAx>
        <c:axId val="160785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68143"/>
        <c:crosses val="autoZero"/>
        <c:auto val="1"/>
        <c:lblAlgn val="ctr"/>
        <c:lblOffset val="100"/>
        <c:noMultiLvlLbl val="0"/>
      </c:catAx>
      <c:valAx>
        <c:axId val="1607868143"/>
        <c:scaling>
          <c:orientation val="minMax"/>
          <c:max val="4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инструкций</a:t>
                </a:r>
                <a:r>
                  <a:rPr lang="ru-RU" baseline="0"/>
                  <a:t> за цикл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56495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'!bench (5)'!$C$1</c:f>
              <c:strCache>
                <c:ptCount val="1"/>
                <c:pt idx="0">
                  <c:v>CPI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470830401021939E-17"/>
                  <c:y val="-0.201101268591426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CB-4B8A-8E31-BED41622132B}"/>
                </c:ext>
              </c:extLst>
            </c:dLbl>
            <c:dLbl>
              <c:idx val="1"/>
              <c:layout>
                <c:manualLayout>
                  <c:x val="0"/>
                  <c:y val="-0.1938148877223680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CB-4B8A-8E31-BED41622132B}"/>
                </c:ext>
              </c:extLst>
            </c:dLbl>
            <c:dLbl>
              <c:idx val="2"/>
              <c:layout>
                <c:manualLayout>
                  <c:x val="0"/>
                  <c:y val="-0.189716754155730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CB-4B8A-8E31-BED41622132B}"/>
                </c:ext>
              </c:extLst>
            </c:dLbl>
            <c:dLbl>
              <c:idx val="3"/>
              <c:layout>
                <c:manualLayout>
                  <c:x val="0"/>
                  <c:y val="-0.3044845435987168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CB-4B8A-8E31-BED41622132B}"/>
                </c:ext>
              </c:extLst>
            </c:dLbl>
            <c:dLbl>
              <c:idx val="4"/>
              <c:layout>
                <c:manualLayout>
                  <c:x val="-1.0188332160408776E-16"/>
                  <c:y val="-0.1626184747739865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CB-4B8A-8E31-BED41622132B}"/>
                </c:ext>
              </c:extLst>
            </c:dLbl>
            <c:dLbl>
              <c:idx val="5"/>
              <c:layout>
                <c:manualLayout>
                  <c:x val="0"/>
                  <c:y val="-0.1960925196850393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CB-4B8A-8E31-BED4162213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(5)'!$A$2:$A$7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(5)'!$C$2:$C$7</c:f>
              <c:numCache>
                <c:formatCode>0.000</c:formatCode>
                <c:ptCount val="6"/>
                <c:pt idx="0">
                  <c:v>0.3</c:v>
                </c:pt>
                <c:pt idx="1">
                  <c:v>0.29499999999999998</c:v>
                </c:pt>
                <c:pt idx="2">
                  <c:v>0.29599999999999999</c:v>
                </c:pt>
                <c:pt idx="3">
                  <c:v>0.51200000000000001</c:v>
                </c:pt>
                <c:pt idx="4">
                  <c:v>0.245</c:v>
                </c:pt>
                <c:pt idx="5">
                  <c:v>0.308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B-4B8A-8E31-BED416221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65974879"/>
        <c:axId val="1765978623"/>
      </c:barChart>
      <c:catAx>
        <c:axId val="17659748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5978623"/>
        <c:crosses val="autoZero"/>
        <c:auto val="1"/>
        <c:lblAlgn val="ctr"/>
        <c:lblOffset val="100"/>
        <c:noMultiLvlLbl val="0"/>
      </c:catAx>
      <c:valAx>
        <c:axId val="176597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597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'!bench (5)'!$D$1</c:f>
              <c:strCache>
                <c:ptCount val="1"/>
                <c:pt idx="0">
                  <c:v>L1_ACCESS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06113298337707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42-4F03-A4A5-44BE51CD4A81}"/>
                </c:ext>
              </c:extLst>
            </c:dLbl>
            <c:dLbl>
              <c:idx val="1"/>
              <c:layout>
                <c:manualLayout>
                  <c:x val="0"/>
                  <c:y val="1.38196267133274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42-4F03-A4A5-44BE51CD4A81}"/>
                </c:ext>
              </c:extLst>
            </c:dLbl>
            <c:dLbl>
              <c:idx val="2"/>
              <c:layout>
                <c:manualLayout>
                  <c:x val="0"/>
                  <c:y val="1.479950422863808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42-4F03-A4A5-44BE51CD4A81}"/>
                </c:ext>
              </c:extLst>
            </c:dLbl>
            <c:dLbl>
              <c:idx val="3"/>
              <c:layout>
                <c:manualLayout>
                  <c:x val="-2.7840241732215456E-3"/>
                  <c:y val="1.68744531933508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42-4F03-A4A5-44BE51CD4A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(5)'!$A$2:$A$7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(5)'!$D$2:$D$7</c:f>
              <c:numCache>
                <c:formatCode>0</c:formatCode>
                <c:ptCount val="6"/>
                <c:pt idx="0">
                  <c:v>2753</c:v>
                </c:pt>
                <c:pt idx="1">
                  <c:v>48304</c:v>
                </c:pt>
                <c:pt idx="2">
                  <c:v>2717</c:v>
                </c:pt>
                <c:pt idx="3">
                  <c:v>621</c:v>
                </c:pt>
                <c:pt idx="4">
                  <c:v>1056</c:v>
                </c:pt>
                <c:pt idx="5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2-4F03-A4A5-44BE51CD4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607859823"/>
        <c:axId val="1607861487"/>
      </c:barChart>
      <c:catAx>
        <c:axId val="160785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61487"/>
        <c:crosses val="autoZero"/>
        <c:auto val="1"/>
        <c:lblAlgn val="ctr"/>
        <c:lblOffset val="100"/>
        <c:noMultiLvlLbl val="0"/>
      </c:catAx>
      <c:valAx>
        <c:axId val="160786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5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'!bench (5)'!$E$1</c:f>
              <c:strCache>
                <c:ptCount val="1"/>
                <c:pt idx="0">
                  <c:v>L2_by_L1_MISS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1001633129192184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09-4207-B30E-B847B0081B9E}"/>
                </c:ext>
              </c:extLst>
            </c:dLbl>
            <c:dLbl>
              <c:idx val="1"/>
              <c:layout>
                <c:manualLayout>
                  <c:x val="-5.0900855790023482E-17"/>
                  <c:y val="-0.1186654272382618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09-4207-B30E-B847B0081B9E}"/>
                </c:ext>
              </c:extLst>
            </c:dLbl>
            <c:dLbl>
              <c:idx val="2"/>
              <c:layout>
                <c:manualLayout>
                  <c:x val="-1.0180171158004696E-16"/>
                  <c:y val="-8.315543890347031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09-4207-B30E-B847B0081B9E}"/>
                </c:ext>
              </c:extLst>
            </c:dLbl>
            <c:dLbl>
              <c:idx val="3"/>
              <c:layout>
                <c:manualLayout>
                  <c:x val="0"/>
                  <c:y val="-0.3841965587634879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09-4207-B30E-B847B0081B9E}"/>
                </c:ext>
              </c:extLst>
            </c:dLbl>
            <c:dLbl>
              <c:idx val="4"/>
              <c:layout>
                <c:manualLayout>
                  <c:x val="0"/>
                  <c:y val="-6.397674249052209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09-4207-B30E-B847B0081B9E}"/>
                </c:ext>
              </c:extLst>
            </c:dLbl>
            <c:dLbl>
              <c:idx val="5"/>
              <c:layout>
                <c:manualLayout>
                  <c:x val="-1.0180173383568863E-16"/>
                  <c:y val="-0.11476851851851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09-4207-B30E-B847B0081B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(5)'!$A$2:$A$7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(5)'!$E$2:$E$7</c:f>
              <c:numCache>
                <c:formatCode>0</c:formatCode>
                <c:ptCount val="6"/>
                <c:pt idx="0">
                  <c:v>31650</c:v>
                </c:pt>
                <c:pt idx="1">
                  <c:v>36675</c:v>
                </c:pt>
                <c:pt idx="2">
                  <c:v>28200</c:v>
                </c:pt>
                <c:pt idx="3">
                  <c:v>165050</c:v>
                </c:pt>
                <c:pt idx="4">
                  <c:v>19200</c:v>
                </c:pt>
                <c:pt idx="5">
                  <c:v>32175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9-4207-B30E-B847B0081B9E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68505695"/>
        <c:axId val="1668501535"/>
      </c:barChart>
      <c:catAx>
        <c:axId val="1668505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8501535"/>
        <c:crosses val="autoZero"/>
        <c:auto val="1"/>
        <c:lblAlgn val="ctr"/>
        <c:lblOffset val="100"/>
        <c:noMultiLvlLbl val="0"/>
      </c:catAx>
      <c:valAx>
        <c:axId val="1668501535"/>
        <c:scaling>
          <c:orientation val="minMax"/>
          <c:max val="17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обращений к </a:t>
                </a:r>
                <a:r>
                  <a:rPr lang="en-US"/>
                  <a:t>L2</a:t>
                </a:r>
                <a:r>
                  <a:rPr lang="ru-RU" baseline="0"/>
                  <a:t> кэшу</a:t>
                </a:r>
                <a:r>
                  <a:rPr lang="en-US" baseline="0"/>
                  <a:t> </a:t>
                </a:r>
                <a:r>
                  <a:rPr lang="ru-RU" baseline="0"/>
                  <a:t>(тыс)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850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'!bench (5)'!$F$1</c:f>
              <c:strCache>
                <c:ptCount val="1"/>
                <c:pt idx="0">
                  <c:v>MISALIGNED_LOADS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164625255176436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9D-4D83-82E8-4146F20226F8}"/>
                </c:ext>
              </c:extLst>
            </c:dLbl>
            <c:dLbl>
              <c:idx val="1"/>
              <c:layout>
                <c:manualLayout>
                  <c:x val="0"/>
                  <c:y val="-5.549176144648602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9D-4D83-82E8-4146F20226F8}"/>
                </c:ext>
              </c:extLst>
            </c:dLbl>
            <c:dLbl>
              <c:idx val="2"/>
              <c:layout>
                <c:manualLayout>
                  <c:x val="-5.1039853558984624E-17"/>
                  <c:y val="-0.3514862204724409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9D-4D83-82E8-4146F20226F8}"/>
                </c:ext>
              </c:extLst>
            </c:dLbl>
            <c:dLbl>
              <c:idx val="3"/>
              <c:layout>
                <c:manualLayout>
                  <c:x val="0"/>
                  <c:y val="-0.3056536162146398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9D-4D83-82E8-4146F20226F8}"/>
                </c:ext>
              </c:extLst>
            </c:dLbl>
            <c:dLbl>
              <c:idx val="4"/>
              <c:layout>
                <c:manualLayout>
                  <c:x val="-2.7840241732215456E-3"/>
                  <c:y val="-4.18040974044911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9D-4D83-82E8-4146F20226F8}"/>
                </c:ext>
              </c:extLst>
            </c:dLbl>
            <c:dLbl>
              <c:idx val="5"/>
              <c:layout>
                <c:manualLayout>
                  <c:x val="-1.1136096692886387E-2"/>
                  <c:y val="-5.10633566637503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9D-4D83-82E8-4146F20226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(5)'!$A$2:$A$7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(5)'!$F$2:$F$7</c:f>
              <c:numCache>
                <c:formatCode>0</c:formatCode>
                <c:ptCount val="6"/>
                <c:pt idx="0">
                  <c:v>2668</c:v>
                </c:pt>
                <c:pt idx="1">
                  <c:v>44</c:v>
                </c:pt>
                <c:pt idx="2">
                  <c:v>3098</c:v>
                </c:pt>
                <c:pt idx="3">
                  <c:v>2608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D-4D83-82E8-4146F20226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07875631"/>
        <c:axId val="1607876047"/>
      </c:barChart>
      <c:catAx>
        <c:axId val="160787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76047"/>
        <c:crosses val="autoZero"/>
        <c:auto val="1"/>
        <c:lblAlgn val="ctr"/>
        <c:lblOffset val="100"/>
        <c:noMultiLvlLbl val="0"/>
      </c:catAx>
      <c:valAx>
        <c:axId val="160787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7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'!bench (5)'!$D$1</c:f>
              <c:strCache>
                <c:ptCount val="1"/>
                <c:pt idx="0">
                  <c:v>L1_ACCESS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2.70483377077865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B6-40FB-8FD3-B3466F5F81BF}"/>
                </c:ext>
              </c:extLst>
            </c:dLbl>
            <c:dLbl>
              <c:idx val="1"/>
              <c:layout>
                <c:manualLayout>
                  <c:x val="0"/>
                  <c:y val="9.18999708369782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9B6-40FB-8FD3-B3466F5F81BF}"/>
                </c:ext>
              </c:extLst>
            </c:dLbl>
            <c:dLbl>
              <c:idx val="2"/>
              <c:layout>
                <c:manualLayout>
                  <c:x val="-1.0211250047041863E-16"/>
                  <c:y val="1.725393700787401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9B6-40FB-8FD3-B3466F5F81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(5)'!$A$2:$A$7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(5)'!$D$2:$D$7</c:f>
              <c:numCache>
                <c:formatCode>0</c:formatCode>
                <c:ptCount val="6"/>
                <c:pt idx="0">
                  <c:v>2753</c:v>
                </c:pt>
                <c:pt idx="1">
                  <c:v>48304</c:v>
                </c:pt>
                <c:pt idx="2">
                  <c:v>2717</c:v>
                </c:pt>
                <c:pt idx="3">
                  <c:v>621</c:v>
                </c:pt>
                <c:pt idx="4">
                  <c:v>1056</c:v>
                </c:pt>
                <c:pt idx="5">
                  <c:v>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6-40FB-8FD3-B3466F5F8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607859823"/>
        <c:axId val="1607861487"/>
      </c:barChart>
      <c:catAx>
        <c:axId val="1607859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61487"/>
        <c:crosses val="autoZero"/>
        <c:auto val="1"/>
        <c:lblAlgn val="ctr"/>
        <c:lblOffset val="100"/>
        <c:noMultiLvlLbl val="0"/>
      </c:catAx>
      <c:valAx>
        <c:axId val="1607861487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обращений к </a:t>
                </a:r>
                <a:r>
                  <a:rPr lang="en-US"/>
                  <a:t>L1</a:t>
                </a:r>
                <a:r>
                  <a:rPr lang="ru-RU"/>
                  <a:t> кэшу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785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B_S_RULES!$F$1</c:f>
              <c:strCache>
                <c:ptCount val="1"/>
                <c:pt idx="0">
                  <c:v>0.01%</c:v>
                </c:pt>
              </c:strCache>
            </c:strRef>
          </c:tx>
          <c:spPr>
            <a:solidFill>
              <a:schemeClr val="accent5">
                <a:shade val="47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B_S_RULES!$F$33:$F$37</c:f>
              <c:numCache>
                <c:formatCode>0.00</c:formatCode>
                <c:ptCount val="5"/>
                <c:pt idx="0">
                  <c:v>2061.6</c:v>
                </c:pt>
                <c:pt idx="1">
                  <c:v>862.01666666666677</c:v>
                </c:pt>
                <c:pt idx="2">
                  <c:v>684.56666666666661</c:v>
                </c:pt>
                <c:pt idx="3">
                  <c:v>76.783333333333331</c:v>
                </c:pt>
                <c:pt idx="4">
                  <c:v>79.033333333333331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F-41AA-BCFD-A404B09CEBD5}"/>
            </c:ext>
          </c:extLst>
        </c:ser>
        <c:ser>
          <c:idx val="1"/>
          <c:order val="1"/>
          <c:tx>
            <c:strRef>
              <c:f>B_S_RULES!$G$1</c:f>
              <c:strCache>
                <c:ptCount val="1"/>
                <c:pt idx="0">
                  <c:v>0.1%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B_S_RULES!$G$33:$G$37</c:f>
              <c:numCache>
                <c:formatCode>0.00</c:formatCode>
                <c:ptCount val="5"/>
                <c:pt idx="0">
                  <c:v>2063.2000000000003</c:v>
                </c:pt>
                <c:pt idx="1">
                  <c:v>862.73333333333323</c:v>
                </c:pt>
                <c:pt idx="2">
                  <c:v>685</c:v>
                </c:pt>
                <c:pt idx="3">
                  <c:v>76.849999999999994</c:v>
                </c:pt>
                <c:pt idx="4">
                  <c:v>79.166666666666657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6F-41AA-BCFD-A404B09CEBD5}"/>
            </c:ext>
          </c:extLst>
        </c:ser>
        <c:ser>
          <c:idx val="2"/>
          <c:order val="2"/>
          <c:tx>
            <c:strRef>
              <c:f>B_S_RULES!$H$1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5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B_S_RULES!$H$33:$H$37</c:f>
              <c:numCache>
                <c:formatCode>0.00</c:formatCode>
                <c:ptCount val="5"/>
                <c:pt idx="0">
                  <c:v>2065.9996666666666</c:v>
                </c:pt>
                <c:pt idx="1">
                  <c:v>864.4663333333333</c:v>
                </c:pt>
                <c:pt idx="2">
                  <c:v>685.63333333333333</c:v>
                </c:pt>
                <c:pt idx="3">
                  <c:v>77.083333333333329</c:v>
                </c:pt>
                <c:pt idx="4">
                  <c:v>79.449999999999989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6F-41AA-BCFD-A404B09CEBD5}"/>
            </c:ext>
          </c:extLst>
        </c:ser>
        <c:ser>
          <c:idx val="3"/>
          <c:order val="3"/>
          <c:tx>
            <c:strRef>
              <c:f>B_S_RULES!$I$1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B_S_RULES!$I$33:$I$37</c:f>
              <c:numCache>
                <c:formatCode>0.00</c:formatCode>
                <c:ptCount val="5"/>
                <c:pt idx="0">
                  <c:v>2091.9</c:v>
                </c:pt>
                <c:pt idx="1">
                  <c:v>887.0333333333333</c:v>
                </c:pt>
                <c:pt idx="2">
                  <c:v>697.19999999999993</c:v>
                </c:pt>
                <c:pt idx="3">
                  <c:v>80.116666666666674</c:v>
                </c:pt>
                <c:pt idx="4">
                  <c:v>83.216666666666654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6F-41AA-BCFD-A404B09CEBD5}"/>
            </c:ext>
          </c:extLst>
        </c:ser>
        <c:ser>
          <c:idx val="4"/>
          <c:order val="4"/>
          <c:tx>
            <c:strRef>
              <c:f>B_S_RULES!$J$1</c:f>
              <c:strCache>
                <c:ptCount val="1"/>
                <c:pt idx="0">
                  <c:v>99%</c:v>
                </c:pt>
              </c:strCache>
            </c:strRef>
          </c:tx>
          <c:spPr>
            <a:solidFill>
              <a:schemeClr val="accent5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B_S_RULES!$J$33:$J$37</c:f>
              <c:numCache>
                <c:formatCode>0.000</c:formatCode>
                <c:ptCount val="5"/>
                <c:pt idx="0">
                  <c:v>2499.6586666666667</c:v>
                </c:pt>
                <c:pt idx="1">
                  <c:v>1337.8801666666666</c:v>
                </c:pt>
                <c:pt idx="2">
                  <c:v>957.40483333333339</c:v>
                </c:pt>
                <c:pt idx="3">
                  <c:v>121.568</c:v>
                </c:pt>
                <c:pt idx="4">
                  <c:v>121.81750000000001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6F-41AA-BCFD-A404B09CEBD5}"/>
            </c:ext>
          </c:extLst>
        </c:ser>
        <c:ser>
          <c:idx val="5"/>
          <c:order val="5"/>
          <c:tx>
            <c:strRef>
              <c:f>B_S_RULES!$K$1</c:f>
              <c:strCache>
                <c:ptCount val="1"/>
                <c:pt idx="0">
                  <c:v>99.9%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B_S_RULES!$K$33:$K$37</c:f>
              <c:numCache>
                <c:formatCode>0.000</c:formatCode>
                <c:ptCount val="5"/>
                <c:pt idx="0">
                  <c:v>2684.2063333333335</c:v>
                </c:pt>
                <c:pt idx="1">
                  <c:v>1706.8871666666666</c:v>
                </c:pt>
                <c:pt idx="2">
                  <c:v>1103.3208333333334</c:v>
                </c:pt>
                <c:pt idx="3">
                  <c:v>182.43566666666666</c:v>
                </c:pt>
                <c:pt idx="4">
                  <c:v>149.65200000000002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6F-41AA-BCFD-A404B09CEBD5}"/>
            </c:ext>
          </c:extLst>
        </c:ser>
        <c:ser>
          <c:idx val="6"/>
          <c:order val="6"/>
          <c:tx>
            <c:strRef>
              <c:f>B_S_RULES!$L$1</c:f>
              <c:strCache>
                <c:ptCount val="1"/>
                <c:pt idx="0">
                  <c:v>99.99%</c:v>
                </c:pt>
              </c:strCache>
            </c:strRef>
          </c:tx>
          <c:spPr>
            <a:solidFill>
              <a:schemeClr val="accent5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B_S_RULES!$L$33:$L$37</c:f>
              <c:numCache>
                <c:formatCode>0.000</c:formatCode>
                <c:ptCount val="5"/>
                <c:pt idx="0">
                  <c:v>3075.6361666666671</c:v>
                </c:pt>
                <c:pt idx="1">
                  <c:v>1824.7265</c:v>
                </c:pt>
                <c:pt idx="2">
                  <c:v>1240.3873333333333</c:v>
                </c:pt>
                <c:pt idx="3">
                  <c:v>229.92016666666666</c:v>
                </c:pt>
                <c:pt idx="4">
                  <c:v>225.71933333333337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6F-41AA-BCFD-A404B09CEB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372377344"/>
        <c:axId val="372378176"/>
      </c:barChart>
      <c:catAx>
        <c:axId val="37237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378176"/>
        <c:crosses val="autoZero"/>
        <c:auto val="1"/>
        <c:lblAlgn val="ctr"/>
        <c:lblOffset val="100"/>
        <c:noMultiLvlLbl val="0"/>
      </c:catAx>
      <c:valAx>
        <c:axId val="3723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 (нс)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37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B_S_RULES!$D$1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B_S_RULES!$D$33:$D$37</c:f>
              <c:numCache>
                <c:formatCode>0.00</c:formatCode>
                <c:ptCount val="5"/>
                <c:pt idx="0">
                  <c:v>2061.0333333333333</c:v>
                </c:pt>
                <c:pt idx="1">
                  <c:v>861.68333333333328</c:v>
                </c:pt>
                <c:pt idx="2">
                  <c:v>684.44999999999993</c:v>
                </c:pt>
                <c:pt idx="3">
                  <c:v>76.716666666666683</c:v>
                </c:pt>
                <c:pt idx="4">
                  <c:v>78.916666666666671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D5-468A-8D4B-3D835D646B1A}"/>
            </c:ext>
          </c:extLst>
        </c:ser>
        <c:ser>
          <c:idx val="3"/>
          <c:order val="1"/>
          <c:tx>
            <c:strRef>
              <c:f>B_S_RULES!$I$1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B_S_RULES!$I$33:$I$37</c:f>
              <c:numCache>
                <c:formatCode>0.00</c:formatCode>
                <c:ptCount val="5"/>
                <c:pt idx="0">
                  <c:v>2091.9</c:v>
                </c:pt>
                <c:pt idx="1">
                  <c:v>887.0333333333333</c:v>
                </c:pt>
                <c:pt idx="2">
                  <c:v>697.19999999999993</c:v>
                </c:pt>
                <c:pt idx="3">
                  <c:v>80.116666666666674</c:v>
                </c:pt>
                <c:pt idx="4">
                  <c:v>83.216666666666654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D5-468A-8D4B-3D835D646B1A}"/>
            </c:ext>
          </c:extLst>
        </c:ser>
        <c:ser>
          <c:idx val="0"/>
          <c:order val="2"/>
          <c:tx>
            <c:strRef>
              <c:f>B_S_RULES!$B$1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B_S_RULES!$B$33:$B$37</c:f>
              <c:numCache>
                <c:formatCode>0.000</c:formatCode>
                <c:ptCount val="5"/>
                <c:pt idx="0">
                  <c:v>2143.6166666666668</c:v>
                </c:pt>
                <c:pt idx="1">
                  <c:v>925.95166666666671</c:v>
                </c:pt>
                <c:pt idx="2">
                  <c:v>722.72766666666666</c:v>
                </c:pt>
                <c:pt idx="3">
                  <c:v>82.870499999999993</c:v>
                </c:pt>
                <c:pt idx="4">
                  <c:v>85.807500000000005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5-468A-8D4B-3D835D646B1A}"/>
            </c:ext>
          </c:extLst>
        </c:ser>
        <c:ser>
          <c:idx val="2"/>
          <c:order val="3"/>
          <c:tx>
            <c:strRef>
              <c:f>B_S_RULES!$E$1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B_S_RULES!$A$33:$A$37</c:f>
              <c:strCache>
                <c:ptCount val="5"/>
                <c:pt idx="0">
                  <c:v>наивное</c:v>
                </c:pt>
                <c:pt idx="1">
                  <c:v>опт.</c:v>
                </c:pt>
                <c:pt idx="2">
                  <c:v>bitset</c:v>
                </c:pt>
                <c:pt idx="3">
                  <c:v>буфер.</c:v>
                </c:pt>
                <c:pt idx="4">
                  <c:v>bitset буф.</c:v>
                </c:pt>
              </c:strCache>
            </c:strRef>
          </c:cat>
          <c:val>
            <c:numRef>
              <c:f>B_S_RULES!$E$33:$E$37</c:f>
              <c:numCache>
                <c:formatCode>0.00</c:formatCode>
                <c:ptCount val="5"/>
                <c:pt idx="0">
                  <c:v>3937.2833333333328</c:v>
                </c:pt>
                <c:pt idx="1">
                  <c:v>1922.9166666666667</c:v>
                </c:pt>
                <c:pt idx="2">
                  <c:v>1278.7166666666667</c:v>
                </c:pt>
                <c:pt idx="3">
                  <c:v>262.49999999999994</c:v>
                </c:pt>
                <c:pt idx="4">
                  <c:v>253.08333333333334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D5-468A-8D4B-3D835D646B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87751936"/>
        <c:axId val="787753184"/>
      </c:barChart>
      <c:catAx>
        <c:axId val="78775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753184"/>
        <c:crosses val="autoZero"/>
        <c:auto val="1"/>
        <c:lblAlgn val="ctr"/>
        <c:lblOffset val="100"/>
        <c:noMultiLvlLbl val="0"/>
      </c:catAx>
      <c:valAx>
        <c:axId val="787753184"/>
        <c:scaling>
          <c:orientation val="minMax"/>
          <c:max val="4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выполнения (нс)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75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B_S_RULES!$D$1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B_S_RULES!$D$46:$D$47</c:f>
              <c:numCache>
                <c:formatCode>0.000</c:formatCode>
                <c:ptCount val="2"/>
                <c:pt idx="0">
                  <c:v>21607.8</c:v>
                </c:pt>
                <c:pt idx="1">
                  <c:v>20166.100000000002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A5B-B129-A0C73364610C}"/>
            </c:ext>
          </c:extLst>
        </c:ser>
        <c:ser>
          <c:idx val="0"/>
          <c:order val="1"/>
          <c:tx>
            <c:strRef>
              <c:f>B_S_RULES!$B$1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B_S_RULES!$B$46:$B$47</c:f>
              <c:numCache>
                <c:formatCode>0.000</c:formatCode>
                <c:ptCount val="2"/>
                <c:pt idx="0">
                  <c:v>22838.827000000001</c:v>
                </c:pt>
                <c:pt idx="1">
                  <c:v>21550.283333333333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8-4A5B-B129-A0C73364610C}"/>
            </c:ext>
          </c:extLst>
        </c:ser>
        <c:ser>
          <c:idx val="3"/>
          <c:order val="2"/>
          <c:tx>
            <c:strRef>
              <c:f>B_S_RULES!$I$1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B_S_RULES!$I$46:$I$47</c:f>
              <c:numCache>
                <c:formatCode>0.000</c:formatCode>
                <c:ptCount val="2"/>
                <c:pt idx="0">
                  <c:v>22659.55</c:v>
                </c:pt>
                <c:pt idx="1">
                  <c:v>21263.55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28-4A5B-B129-A0C73364610C}"/>
            </c:ext>
          </c:extLst>
        </c:ser>
        <c:ser>
          <c:idx val="2"/>
          <c:order val="3"/>
          <c:tx>
            <c:strRef>
              <c:f>B_S_RULES!$E$1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0925337632079971E-17"/>
                  <c:y val="1.85185185185185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28-4A5B-B129-A0C73364610C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B_S_RULES!$E$46:$E$47</c:f>
              <c:numCache>
                <c:formatCode>0.000</c:formatCode>
                <c:ptCount val="2"/>
                <c:pt idx="0">
                  <c:v>32530.333333333332</c:v>
                </c:pt>
                <c:pt idx="1">
                  <c:v>30702.466666666664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28-4A5B-B129-A0C7336461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9"/>
        <c:overlap val="-15"/>
        <c:axId val="1178445616"/>
        <c:axId val="1178451440"/>
      </c:barChart>
      <c:catAx>
        <c:axId val="1178445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8451440"/>
        <c:crosses val="autoZero"/>
        <c:auto val="1"/>
        <c:lblAlgn val="ctr"/>
        <c:lblOffset val="100"/>
        <c:noMultiLvlLbl val="0"/>
      </c:catAx>
      <c:valAx>
        <c:axId val="1178451440"/>
        <c:scaling>
          <c:orientation val="minMax"/>
          <c:max val="37000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выполнения (нс)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84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B_S_RULES!$F$1</c:f>
              <c:strCache>
                <c:ptCount val="1"/>
                <c:pt idx="0">
                  <c:v>0.01%</c:v>
                </c:pt>
              </c:strCache>
            </c:strRef>
          </c:tx>
          <c:spPr>
            <a:solidFill>
              <a:schemeClr val="accent5">
                <a:shade val="47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B_S_RULES!$F$46:$F$47</c:f>
              <c:numCache>
                <c:formatCode>0.000</c:formatCode>
                <c:ptCount val="2"/>
                <c:pt idx="0">
                  <c:v>21619.265666666666</c:v>
                </c:pt>
                <c:pt idx="1">
                  <c:v>20178.232333333333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9-41B8-9915-587DB41B6FB4}"/>
            </c:ext>
          </c:extLst>
        </c:ser>
        <c:ser>
          <c:idx val="1"/>
          <c:order val="1"/>
          <c:tx>
            <c:strRef>
              <c:f>B_S_RULES!$G$1</c:f>
              <c:strCache>
                <c:ptCount val="1"/>
                <c:pt idx="0">
                  <c:v>0.1%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B_S_RULES!$G$46:$G$47</c:f>
              <c:numCache>
                <c:formatCode>0.000</c:formatCode>
                <c:ptCount val="2"/>
                <c:pt idx="0">
                  <c:v>21695.065333333332</c:v>
                </c:pt>
                <c:pt idx="1">
                  <c:v>20236.531333333336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F9-41B8-9915-587DB41B6FB4}"/>
            </c:ext>
          </c:extLst>
        </c:ser>
        <c:ser>
          <c:idx val="2"/>
          <c:order val="2"/>
          <c:tx>
            <c:strRef>
              <c:f>B_S_RULES!$H$1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5">
                <a:shade val="82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B_S_RULES!$H$46:$H$47</c:f>
              <c:numCache>
                <c:formatCode>0.000</c:formatCode>
                <c:ptCount val="2"/>
                <c:pt idx="0">
                  <c:v>21803.124333333333</c:v>
                </c:pt>
                <c:pt idx="1">
                  <c:v>20342.494999999999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9-41B8-9915-587DB41B6FB4}"/>
            </c:ext>
          </c:extLst>
        </c:ser>
        <c:ser>
          <c:idx val="3"/>
          <c:order val="3"/>
          <c:tx>
            <c:strRef>
              <c:f>B_S_RULES!$I$1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B_S_RULES!$I$46:$I$47</c:f>
              <c:numCache>
                <c:formatCode>0.000</c:formatCode>
                <c:ptCount val="2"/>
                <c:pt idx="0">
                  <c:v>22659.55</c:v>
                </c:pt>
                <c:pt idx="1">
                  <c:v>21263.55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F9-41B8-9915-587DB41B6FB4}"/>
            </c:ext>
          </c:extLst>
        </c:ser>
        <c:ser>
          <c:idx val="4"/>
          <c:order val="4"/>
          <c:tx>
            <c:strRef>
              <c:f>B_S_RULES!$J$1</c:f>
              <c:strCache>
                <c:ptCount val="1"/>
                <c:pt idx="0">
                  <c:v>99%</c:v>
                </c:pt>
              </c:strCache>
            </c:strRef>
          </c:tx>
          <c:spPr>
            <a:solidFill>
              <a:schemeClr val="accent5">
                <a:tint val="83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B_S_RULES!$J$46:$J$47</c:f>
              <c:numCache>
                <c:formatCode>0.000</c:formatCode>
                <c:ptCount val="2"/>
                <c:pt idx="0">
                  <c:v>25255.815000000002</c:v>
                </c:pt>
                <c:pt idx="1">
                  <c:v>24751.265666666663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F9-41B8-9915-587DB41B6FB4}"/>
            </c:ext>
          </c:extLst>
        </c:ser>
        <c:ser>
          <c:idx val="5"/>
          <c:order val="5"/>
          <c:tx>
            <c:strRef>
              <c:f>B_S_RULES!$K$1</c:f>
              <c:strCache>
                <c:ptCount val="1"/>
                <c:pt idx="0">
                  <c:v>99.9%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B_S_RULES!$K$46:$K$47</c:f>
              <c:numCache>
                <c:formatCode>0.000</c:formatCode>
                <c:ptCount val="2"/>
                <c:pt idx="0">
                  <c:v>27677.801666666666</c:v>
                </c:pt>
                <c:pt idx="1">
                  <c:v>26999.030333333332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F9-41B8-9915-587DB41B6FB4}"/>
            </c:ext>
          </c:extLst>
        </c:ser>
        <c:ser>
          <c:idx val="6"/>
          <c:order val="6"/>
          <c:tx>
            <c:strRef>
              <c:f>B_S_RULES!$L$1</c:f>
              <c:strCache>
                <c:ptCount val="1"/>
                <c:pt idx="0">
                  <c:v>99.99%</c:v>
                </c:pt>
              </c:strCache>
            </c:strRef>
          </c:tx>
          <c:spPr>
            <a:solidFill>
              <a:schemeClr val="accent5">
                <a:tint val="4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B_S_RULES!$A$46:$A$47</c:f>
              <c:strCache>
                <c:ptCount val="2"/>
                <c:pt idx="0">
                  <c:v>SSE</c:v>
                </c:pt>
                <c:pt idx="1">
                  <c:v>AVX</c:v>
                </c:pt>
              </c:strCache>
            </c:strRef>
          </c:cat>
          <c:val>
            <c:numRef>
              <c:f>B_S_RULES!$L$46:$L$47</c:f>
              <c:numCache>
                <c:formatCode>0.000</c:formatCode>
                <c:ptCount val="2"/>
                <c:pt idx="0">
                  <c:v>31820.938000000006</c:v>
                </c:pt>
                <c:pt idx="1">
                  <c:v>29472.989666666672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F9-41B8-9915-587DB41B6F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9"/>
        <c:overlap val="-7"/>
        <c:axId val="787983088"/>
        <c:axId val="787981008"/>
      </c:barChart>
      <c:catAx>
        <c:axId val="78798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981008"/>
        <c:crosses val="autoZero"/>
        <c:auto val="1"/>
        <c:lblAlgn val="ctr"/>
        <c:lblOffset val="100"/>
        <c:noMultiLvlLbl val="0"/>
      </c:catAx>
      <c:valAx>
        <c:axId val="787981008"/>
        <c:scaling>
          <c:orientation val="minMax"/>
          <c:max val="38000"/>
          <c:min val="1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выполнения (нс)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983088"/>
        <c:crosses val="autoZero"/>
        <c:crossBetween val="between"/>
        <c:majorUnit val="4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B_S_RULES!$D$1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B_S_RULES!$A$50:$A$55</c:f>
              <c:strCache>
                <c:ptCount val="6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  <c:pt idx="4">
                  <c:v>SSE</c:v>
                </c:pt>
                <c:pt idx="5">
                  <c:v>AVX</c:v>
                </c:pt>
              </c:strCache>
            </c:strRef>
          </c:cat>
          <c:val>
            <c:numRef>
              <c:f>B_S_RULES!$D$50:$D$55</c:f>
              <c:numCache>
                <c:formatCode>0.000</c:formatCode>
                <c:ptCount val="6"/>
                <c:pt idx="0">
                  <c:v>2.3918686292334774</c:v>
                </c:pt>
                <c:pt idx="1">
                  <c:v>3.0112255582341056</c:v>
                </c:pt>
                <c:pt idx="2">
                  <c:v>26.865522485335646</c:v>
                </c:pt>
                <c:pt idx="3">
                  <c:v>26.116578669482575</c:v>
                </c:pt>
                <c:pt idx="4">
                  <c:v>9.5383765738915272E-2</c:v>
                </c:pt>
                <c:pt idx="5">
                  <c:v>0.10220287181623285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C-43ED-BE6B-9840A683FAE8}"/>
            </c:ext>
          </c:extLst>
        </c:ser>
        <c:ser>
          <c:idx val="3"/>
          <c:order val="1"/>
          <c:tx>
            <c:strRef>
              <c:f>B_S_RULES!$I$1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B_S_RULES!$A$50:$A$55</c:f>
              <c:strCache>
                <c:ptCount val="6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  <c:pt idx="4">
                  <c:v>SSE</c:v>
                </c:pt>
                <c:pt idx="5">
                  <c:v>AVX</c:v>
                </c:pt>
              </c:strCache>
            </c:strRef>
          </c:cat>
          <c:val>
            <c:numRef>
              <c:f>B_S_RULES!$I$50:$I$55</c:f>
              <c:numCache>
                <c:formatCode>0.000</c:formatCode>
                <c:ptCount val="6"/>
                <c:pt idx="0">
                  <c:v>2.3583104731126228</c:v>
                </c:pt>
                <c:pt idx="1">
                  <c:v>3.0004302925989679</c:v>
                </c:pt>
                <c:pt idx="2">
                  <c:v>26.110671936758891</c:v>
                </c:pt>
                <c:pt idx="3">
                  <c:v>25.137993190466659</c:v>
                </c:pt>
                <c:pt idx="4">
                  <c:v>9.2318691236145473E-2</c:v>
                </c:pt>
                <c:pt idx="5">
                  <c:v>9.8379621464901215E-2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3C-43ED-BE6B-9840A683FAE8}"/>
            </c:ext>
          </c:extLst>
        </c:ser>
        <c:ser>
          <c:idx val="0"/>
          <c:order val="2"/>
          <c:tx>
            <c:strRef>
              <c:f>B_S_RULES!$B$1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B_S_RULES!$A$50:$A$55</c:f>
              <c:strCache>
                <c:ptCount val="6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  <c:pt idx="4">
                  <c:v>SSE</c:v>
                </c:pt>
                <c:pt idx="5">
                  <c:v>AVX</c:v>
                </c:pt>
              </c:strCache>
            </c:strRef>
          </c:cat>
          <c:val>
            <c:numRef>
              <c:f>B_S_RULES!$B$50:$B$55</c:f>
              <c:numCache>
                <c:formatCode>0.000</c:formatCode>
                <c:ptCount val="6"/>
                <c:pt idx="0">
                  <c:v>2.3150416418423569</c:v>
                </c:pt>
                <c:pt idx="1">
                  <c:v>2.9660088654878303</c:v>
                </c:pt>
                <c:pt idx="2">
                  <c:v>25.867065682802288</c:v>
                </c:pt>
                <c:pt idx="3">
                  <c:v>24.981693519408754</c:v>
                </c:pt>
                <c:pt idx="4">
                  <c:v>9.3858439694239404E-2</c:v>
                </c:pt>
                <c:pt idx="5">
                  <c:v>9.9470463265370845E-2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C-43ED-BE6B-9840A683FAE8}"/>
            </c:ext>
          </c:extLst>
        </c:ser>
        <c:ser>
          <c:idx val="2"/>
          <c:order val="3"/>
          <c:tx>
            <c:strRef>
              <c:f>B_S_RULES!$E$1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B_S_RULES!$A$50:$A$55</c:f>
              <c:strCache>
                <c:ptCount val="6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  <c:pt idx="4">
                  <c:v>SSE</c:v>
                </c:pt>
                <c:pt idx="5">
                  <c:v>AVX</c:v>
                </c:pt>
              </c:strCache>
            </c:strRef>
          </c:cat>
          <c:val>
            <c:numRef>
              <c:f>B_S_RULES!$E$50:$E$55</c:f>
              <c:numCache>
                <c:formatCode>0.000</c:formatCode>
                <c:ptCount val="6"/>
                <c:pt idx="0">
                  <c:v>2.0475579631635967</c:v>
                </c:pt>
                <c:pt idx="1">
                  <c:v>3.0790897123418004</c:v>
                </c:pt>
                <c:pt idx="2">
                  <c:v>14.999174603174605</c:v>
                </c:pt>
                <c:pt idx="3">
                  <c:v>15.557260454395783</c:v>
                </c:pt>
                <c:pt idx="4">
                  <c:v>0.1210342142205736</c:v>
                </c:pt>
                <c:pt idx="5">
                  <c:v>0.12823996768989246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3C-43ED-BE6B-9840A683FA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9"/>
        <c:overlap val="-15"/>
        <c:axId val="1026301760"/>
        <c:axId val="1026305088"/>
      </c:barChart>
      <c:catAx>
        <c:axId val="1026301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305088"/>
        <c:crosses val="autoZero"/>
        <c:auto val="1"/>
        <c:lblAlgn val="ctr"/>
        <c:lblOffset val="100"/>
        <c:noMultiLvlLbl val="0"/>
      </c:catAx>
      <c:valAx>
        <c:axId val="102630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Во сколько раз быстрее наивного</a:t>
                </a:r>
                <a:r>
                  <a:rPr lang="ru-RU" baseline="0"/>
                  <a:t> алгоритма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630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B_S_RULES!$D$1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B_S_RULES!$D$49:$D$55</c15:sqref>
                  </c15:fullRef>
                </c:ext>
              </c:extLst>
              <c:f>B_S_RULES!$D$50:$D$53</c:f>
              <c:numCache>
                <c:formatCode>0.000</c:formatCode>
                <c:ptCount val="4"/>
                <c:pt idx="0">
                  <c:v>2.3918686292334774</c:v>
                </c:pt>
                <c:pt idx="1">
                  <c:v>3.0112255582341056</c:v>
                </c:pt>
                <c:pt idx="2">
                  <c:v>26.865522485335646</c:v>
                </c:pt>
                <c:pt idx="3">
                  <c:v>26.116578669482575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5B-4DBB-8F5F-9E262536E0C9}"/>
            </c:ext>
          </c:extLst>
        </c:ser>
        <c:ser>
          <c:idx val="4"/>
          <c:order val="1"/>
          <c:tx>
            <c:strRef>
              <c:f>B_S_RULES!$F$1</c:f>
              <c:strCache>
                <c:ptCount val="1"/>
                <c:pt idx="0">
                  <c:v>0.01%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B_S_RULES!$F$49:$F$55</c15:sqref>
                  </c15:fullRef>
                </c:ext>
              </c:extLst>
              <c:f>B_S_RULES!$F$50:$F$53</c:f>
              <c:numCache>
                <c:formatCode>0.000</c:formatCode>
                <c:ptCount val="4"/>
                <c:pt idx="0">
                  <c:v>2.3916010904661547</c:v>
                </c:pt>
                <c:pt idx="1">
                  <c:v>3.011540147051663</c:v>
                </c:pt>
                <c:pt idx="2">
                  <c:v>26.849576731061429</c:v>
                </c:pt>
                <c:pt idx="3">
                  <c:v>26.085196119780683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5B-4DBB-8F5F-9E262536E0C9}"/>
            </c:ext>
          </c:extLst>
        </c:ser>
        <c:ser>
          <c:idx val="6"/>
          <c:order val="4"/>
          <c:tx>
            <c:strRef>
              <c:f>B_S_RULES!$H$1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B_S_RULES!$H$49:$H$55</c15:sqref>
                  </c15:fullRef>
                </c:ext>
              </c:extLst>
              <c:f>B_S_RULES!$H$50:$H$53</c:f>
              <c:numCache>
                <c:formatCode>0.000</c:formatCode>
                <c:ptCount val="4"/>
                <c:pt idx="0">
                  <c:v>2.3899133916531934</c:v>
                </c:pt>
                <c:pt idx="1">
                  <c:v>3.0132719140454083</c:v>
                </c:pt>
                <c:pt idx="2">
                  <c:v>26.802157837837839</c:v>
                </c:pt>
                <c:pt idx="3">
                  <c:v>26.003771764212296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5B-4DBB-8F5F-9E262536E0C9}"/>
            </c:ext>
          </c:extLst>
        </c:ser>
        <c:ser>
          <c:idx val="7"/>
          <c:order val="5"/>
          <c:tx>
            <c:strRef>
              <c:f>B_S_RULES!$I$1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B_S_RULES!$I$49:$I$55</c15:sqref>
                  </c15:fullRef>
                </c:ext>
              </c:extLst>
              <c:f>B_S_RULES!$I$50:$I$53</c:f>
              <c:numCache>
                <c:formatCode>0.000</c:formatCode>
                <c:ptCount val="4"/>
                <c:pt idx="0">
                  <c:v>2.3583104731126228</c:v>
                </c:pt>
                <c:pt idx="1">
                  <c:v>3.0004302925989679</c:v>
                </c:pt>
                <c:pt idx="2">
                  <c:v>26.110671936758891</c:v>
                </c:pt>
                <c:pt idx="3">
                  <c:v>25.137993190466659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5B-4DBB-8F5F-9E262536E0C9}"/>
            </c:ext>
          </c:extLst>
        </c:ser>
        <c:ser>
          <c:idx val="0"/>
          <c:order val="6"/>
          <c:tx>
            <c:strRef>
              <c:f>B_S_RULES!$B$1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B_S_RULES!$B$49:$B$55</c15:sqref>
                  </c15:fullRef>
                </c:ext>
              </c:extLst>
              <c:f>B_S_RULES!$B$50:$B$53</c:f>
              <c:numCache>
                <c:formatCode>0.000</c:formatCode>
                <c:ptCount val="4"/>
                <c:pt idx="0">
                  <c:v>2.3150416418423569</c:v>
                </c:pt>
                <c:pt idx="1">
                  <c:v>2.9660088654878303</c:v>
                </c:pt>
                <c:pt idx="2">
                  <c:v>25.867065682802288</c:v>
                </c:pt>
                <c:pt idx="3">
                  <c:v>24.981693519408754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B-4DBB-8F5F-9E262536E0C9}"/>
            </c:ext>
          </c:extLst>
        </c:ser>
        <c:ser>
          <c:idx val="8"/>
          <c:order val="7"/>
          <c:tx>
            <c:strRef>
              <c:f>B_S_RULES!$J$1</c:f>
              <c:strCache>
                <c:ptCount val="1"/>
                <c:pt idx="0">
                  <c:v>99%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B_S_RULES!$J$49:$J$55</c15:sqref>
                  </c15:fullRef>
                </c:ext>
              </c:extLst>
              <c:f>B_S_RULES!$J$50:$J$53</c:f>
              <c:numCache>
                <c:formatCode>0.000</c:formatCode>
                <c:ptCount val="4"/>
                <c:pt idx="0">
                  <c:v>1.8683726158334311</c:v>
                </c:pt>
                <c:pt idx="1">
                  <c:v>2.6108690698414061</c:v>
                </c:pt>
                <c:pt idx="2">
                  <c:v>20.561814512591035</c:v>
                </c:pt>
                <c:pt idx="3">
                  <c:v>20.519700918724045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5B-4DBB-8F5F-9E262536E0C9}"/>
            </c:ext>
          </c:extLst>
        </c:ser>
        <c:ser>
          <c:idx val="10"/>
          <c:order val="9"/>
          <c:tx>
            <c:strRef>
              <c:f>B_S_RULES!$L$1</c:f>
              <c:strCache>
                <c:ptCount val="1"/>
                <c:pt idx="0">
                  <c:v>99.99%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B_S_RULES!$L$49:$L$55</c15:sqref>
                  </c15:fullRef>
                </c:ext>
              </c:extLst>
              <c:f>B_S_RULES!$L$50:$L$53</c:f>
              <c:numCache>
                <c:formatCode>0.000</c:formatCode>
                <c:ptCount val="4"/>
                <c:pt idx="0">
                  <c:v>1.685532690332862</c:v>
                </c:pt>
                <c:pt idx="1">
                  <c:v>2.4795772127093638</c:v>
                </c:pt>
                <c:pt idx="2">
                  <c:v>13.376974326595972</c:v>
                </c:pt>
                <c:pt idx="3">
                  <c:v>13.625931466511508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B5B-4DBB-8F5F-9E262536E0C9}"/>
            </c:ext>
          </c:extLst>
        </c:ser>
        <c:ser>
          <c:idx val="3"/>
          <c:order val="10"/>
          <c:tx>
            <c:strRef>
              <c:f>B_S_RULES!$E$1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B_S_RULES!$A$49:$A$55</c15:sqref>
                  </c15:fullRef>
                </c:ext>
              </c:extLst>
              <c:f>B_S_RULES!$A$50:$A$53</c:f>
              <c:strCache>
                <c:ptCount val="4"/>
                <c:pt idx="0">
                  <c:v>опт.</c:v>
                </c:pt>
                <c:pt idx="1">
                  <c:v>bitset</c:v>
                </c:pt>
                <c:pt idx="2">
                  <c:v>буфер.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B_S_RULES!$E$49:$E$55</c15:sqref>
                  </c15:fullRef>
                </c:ext>
              </c:extLst>
              <c:f>B_S_RULES!$E$50:$E$53</c:f>
              <c:numCache>
                <c:formatCode>0.000</c:formatCode>
                <c:ptCount val="4"/>
                <c:pt idx="0">
                  <c:v>2.0475579631635967</c:v>
                </c:pt>
                <c:pt idx="1">
                  <c:v>3.0790897123418004</c:v>
                </c:pt>
                <c:pt idx="2">
                  <c:v>14.999174603174605</c:v>
                </c:pt>
                <c:pt idx="3">
                  <c:v>15.557260454395783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5B-4DBB-8F5F-9E262536E0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9"/>
        <c:overlap val="-11"/>
        <c:axId val="1127726992"/>
        <c:axId val="1127726160"/>
        <c:extLst>
          <c:ext xmlns:c15="http://schemas.microsoft.com/office/drawing/2012/chart" uri="{02D57815-91ED-43cb-92C2-25804820EDAC}">
            <c15:filteredBarSeries>
              <c15:ser>
                <c:idx val="5"/>
                <c:order val="2"/>
                <c:tx>
                  <c:strRef>
                    <c:extLst>
                      <c:ext uri="{02D57815-91ED-43cb-92C2-25804820EDAC}">
                        <c15:formulaRef>
                          <c15:sqref>B_S_RULES!$G$1</c15:sqref>
                        </c15:formulaRef>
                      </c:ext>
                    </c:extLst>
                    <c:strCache>
                      <c:ptCount val="1"/>
                      <c:pt idx="0">
                        <c:v>0.1%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B_S_RULES!$A$49:$A$55</c15:sqref>
                        </c15:fullRef>
                        <c15:formulaRef>
                          <c15:sqref>B_S_RULES!$A$50:$A$53</c15:sqref>
                        </c15:formulaRef>
                      </c:ext>
                    </c:extLst>
                    <c:strCache>
                      <c:ptCount val="4"/>
                      <c:pt idx="0">
                        <c:v>опт.</c:v>
                      </c:pt>
                      <c:pt idx="1">
                        <c:v>bitset</c:v>
                      </c:pt>
                      <c:pt idx="2">
                        <c:v>буфер.</c:v>
                      </c:pt>
                      <c:pt idx="3">
                        <c:v>bitset буф.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B_S_RULES!$G$49:$G$55</c15:sqref>
                        </c15:fullRef>
                        <c15:formulaRef>
                          <c15:sqref>B_S_RULES!$G$50:$G$53</c15:sqref>
                        </c15:formulaRef>
                      </c:ext>
                    </c:extLst>
                    <c:numCache>
                      <c:formatCode>0.000</c:formatCode>
                      <c:ptCount val="4"/>
                      <c:pt idx="0">
                        <c:v>2.3914689745769264</c:v>
                      </c:pt>
                      <c:pt idx="1">
                        <c:v>3.0119708029197083</c:v>
                      </c:pt>
                      <c:pt idx="2">
                        <c:v>26.847104749512042</c:v>
                      </c:pt>
                      <c:pt idx="3">
                        <c:v>26.061473684210533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3B5B-4DBB-8F5F-9E262536E0C9}"/>
                  </c:ext>
                </c:extLst>
              </c15:ser>
            </c15:filteredBarSeries>
            <c15:filteredBa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B_S_RULES!$C$1</c15:sqref>
                        </c15:formulaRef>
                      </c:ext>
                    </c:extLst>
                    <c:strCache>
                      <c:ptCount val="1"/>
                      <c:pt idx="0">
                        <c:v>СтОткл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B_S_RULES!$A$49:$A$55</c15:sqref>
                        </c15:fullRef>
                        <c15:formulaRef>
                          <c15:sqref>B_S_RULES!$A$50:$A$53</c15:sqref>
                        </c15:formulaRef>
                      </c:ext>
                    </c:extLst>
                    <c:strCache>
                      <c:ptCount val="4"/>
                      <c:pt idx="0">
                        <c:v>опт.</c:v>
                      </c:pt>
                      <c:pt idx="1">
                        <c:v>bitset</c:v>
                      </c:pt>
                      <c:pt idx="2">
                        <c:v>буфер.</c:v>
                      </c:pt>
                      <c:pt idx="3">
                        <c:v>bitset буф.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B_S_RULES!$C$49:$C$55</c15:sqref>
                        </c15:fullRef>
                        <c15:formulaRef>
                          <c15:sqref>B_S_RULES!$C$50:$C$53</c15:sqref>
                        </c15:formulaRef>
                      </c:ext>
                    </c:extLst>
                    <c:numCache>
                      <c:formatCode>0.000</c:formatCode>
                      <c:ptCount val="4"/>
                      <c:pt idx="0">
                        <c:v>1.0499880555226089</c:v>
                      </c:pt>
                      <c:pt idx="1">
                        <c:v>1.722272154326739</c:v>
                      </c:pt>
                      <c:pt idx="2">
                        <c:v>11.153174575007984</c:v>
                      </c:pt>
                      <c:pt idx="3">
                        <c:v>12.176488821728856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B5B-4DBB-8F5F-9E262536E0C9}"/>
                  </c:ext>
                </c:extLst>
              </c15:ser>
            </c15:filteredBarSeries>
            <c15:filteredBar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B_S_RULES!$K$1</c15:sqref>
                        </c15:formulaRef>
                      </c:ext>
                    </c:extLst>
                    <c:strCache>
                      <c:ptCount val="1"/>
                      <c:pt idx="0">
                        <c:v>99.9%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B_S_RULES!$A$49:$A$55</c15:sqref>
                        </c15:fullRef>
                        <c15:formulaRef>
                          <c15:sqref>B_S_RULES!$A$50:$A$53</c15:sqref>
                        </c15:formulaRef>
                      </c:ext>
                    </c:extLst>
                    <c:strCache>
                      <c:ptCount val="4"/>
                      <c:pt idx="0">
                        <c:v>опт.</c:v>
                      </c:pt>
                      <c:pt idx="1">
                        <c:v>bitset</c:v>
                      </c:pt>
                      <c:pt idx="2">
                        <c:v>буфер.</c:v>
                      </c:pt>
                      <c:pt idx="3">
                        <c:v>bitset буф.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B_S_RULES!$K$49:$K$55</c15:sqref>
                        </c15:fullRef>
                        <c15:formulaRef>
                          <c15:sqref>B_S_RULES!$K$50:$K$53</c15:sqref>
                        </c15:formulaRef>
                      </c:ext>
                    </c:extLst>
                    <c:numCache>
                      <c:formatCode>0.000</c:formatCode>
                      <c:ptCount val="4"/>
                      <c:pt idx="0">
                        <c:v>1.5725739731087478</c:v>
                      </c:pt>
                      <c:pt idx="1">
                        <c:v>2.4328429702753431</c:v>
                      </c:pt>
                      <c:pt idx="2">
                        <c:v>14.713166467814226</c:v>
                      </c:pt>
                      <c:pt idx="3">
                        <c:v>17.936321153966091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B5B-4DBB-8F5F-9E262536E0C9}"/>
                  </c:ext>
                </c:extLst>
              </c15:ser>
            </c15:filteredBarSeries>
          </c:ext>
        </c:extLst>
      </c:barChart>
      <c:catAx>
        <c:axId val="1127726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7726160"/>
        <c:crosses val="autoZero"/>
        <c:auto val="1"/>
        <c:lblAlgn val="ctr"/>
        <c:lblOffset val="100"/>
        <c:noMultiLvlLbl val="0"/>
      </c:catAx>
      <c:valAx>
        <c:axId val="11277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baseline="0">
                    <a:effectLst/>
                  </a:rPr>
                  <a:t>Во сколько раз быстрее наивного алгоритма</a:t>
                </a:r>
                <a:endParaRPr lang="ru-RU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772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470830401021939E-17"/>
                  <c:y val="-0.178770778652668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44-44C8-A98F-567CD8837470}"/>
                </c:ext>
              </c:extLst>
            </c:dLbl>
            <c:dLbl>
              <c:idx val="1"/>
              <c:layout>
                <c:manualLayout>
                  <c:x val="0"/>
                  <c:y val="-0.1969903762029746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44-44C8-A98F-567CD8837470}"/>
                </c:ext>
              </c:extLst>
            </c:dLbl>
            <c:dLbl>
              <c:idx val="2"/>
              <c:layout>
                <c:manualLayout>
                  <c:x val="-1.0188332160408776E-16"/>
                  <c:y val="-0.3389063867016622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44-44C8-A98F-567CD8837470}"/>
                </c:ext>
              </c:extLst>
            </c:dLbl>
            <c:dLbl>
              <c:idx val="3"/>
              <c:layout>
                <c:manualLayout>
                  <c:x val="0"/>
                  <c:y val="-0.100056138815981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44-44C8-A98F-567CD8837470}"/>
                </c:ext>
              </c:extLst>
            </c:dLbl>
            <c:dLbl>
              <c:idx val="4"/>
              <c:layout>
                <c:manualLayout>
                  <c:x val="-1.0188332160408776E-16"/>
                  <c:y val="-0.103694225721784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744-44C8-A98F-567CD88374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B_S_INSTR!$A$2:$A$6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B_S_INSTR!$D$2:$D$6</c:f>
              <c:numCache>
                <c:formatCode>0.00</c:formatCode>
                <c:ptCount val="5"/>
                <c:pt idx="0">
                  <c:v>4.5739999999999998</c:v>
                </c:pt>
                <c:pt idx="1">
                  <c:v>5.4610000000000003</c:v>
                </c:pt>
                <c:pt idx="2">
                  <c:v>10.042</c:v>
                </c:pt>
                <c:pt idx="3">
                  <c:v>2.3319999999999999</c:v>
                </c:pt>
                <c:pt idx="4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4-44C8-A98F-567CD8837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42"/>
        <c:axId val="430245024"/>
        <c:axId val="430247520"/>
      </c:barChart>
      <c:catAx>
        <c:axId val="43024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247520"/>
        <c:crosses val="autoZero"/>
        <c:auto val="1"/>
        <c:lblAlgn val="ctr"/>
        <c:lblOffset val="100"/>
        <c:noMultiLvlLbl val="0"/>
      </c:catAx>
      <c:valAx>
        <c:axId val="4302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инструкций за цикл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24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264786745406824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C3-4AA3-8630-BFA513331D42}"/>
                </c:ext>
              </c:extLst>
            </c:dLbl>
            <c:dLbl>
              <c:idx val="1"/>
              <c:layout>
                <c:manualLayout>
                  <c:x val="2.7777777777777267E-3"/>
                  <c:y val="-0.386498614756488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C3-4AA3-8630-BFA513331D42}"/>
                </c:ext>
              </c:extLst>
            </c:dLbl>
            <c:dLbl>
              <c:idx val="2"/>
              <c:layout>
                <c:manualLayout>
                  <c:x val="2.777777777777676E-3"/>
                  <c:y val="-0.2589807524059493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C3-4AA3-8630-BFA513331D42}"/>
                </c:ext>
              </c:extLst>
            </c:dLbl>
            <c:dLbl>
              <c:idx val="3"/>
              <c:layout>
                <c:manualLayout>
                  <c:x val="0"/>
                  <c:y val="-0.2275503062117235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C3-4AA3-8630-BFA513331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B_S_INSTR!$A$2:$A$6</c15:sqref>
                  </c15:fullRef>
                </c:ext>
              </c:extLst>
              <c:f>B_S_INSTR!$A$2:$A$5</c:f>
              <c:strCache>
                <c:ptCount val="4"/>
                <c:pt idx="0">
                  <c:v>опт.</c:v>
                </c:pt>
                <c:pt idx="1">
                  <c:v>наивное</c:v>
                </c:pt>
                <c:pt idx="2">
                  <c:v>bitset</c:v>
                </c:pt>
                <c:pt idx="3">
                  <c:v>bitset буф.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B_S_INSTR!$M$2:$M$6</c15:sqref>
                  </c15:fullRef>
                </c:ext>
              </c:extLst>
              <c:f>B_S_INSTR!$M$2:$M$5</c:f>
              <c:numCache>
                <c:formatCode>0</c:formatCode>
                <c:ptCount val="4"/>
                <c:pt idx="0">
                  <c:v>100000</c:v>
                </c:pt>
                <c:pt idx="1">
                  <c:v>26300000</c:v>
                </c:pt>
                <c:pt idx="2">
                  <c:v>75000</c:v>
                </c:pt>
                <c:pt idx="3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3-4AA3-8630-BFA513331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2"/>
        <c:axId val="93442784"/>
        <c:axId val="93439456"/>
      </c:barChart>
      <c:catAx>
        <c:axId val="9344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439456"/>
        <c:crosses val="autoZero"/>
        <c:auto val="1"/>
        <c:lblAlgn val="ctr"/>
        <c:lblOffset val="100"/>
        <c:noMultiLvlLbl val="0"/>
      </c:catAx>
      <c:valAx>
        <c:axId val="934394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900"/>
                  <a:t>Количество неудачных</a:t>
                </a:r>
                <a:r>
                  <a:rPr lang="ru-RU" sz="900" baseline="0"/>
                  <a:t> выборок ветвления</a:t>
                </a:r>
                <a:endParaRPr lang="ru-RU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44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B_S_INSTR!$A$2:$A$6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B_S_INSTR!$I$2:$I$6</c:f>
              <c:numCache>
                <c:formatCode>0.00%</c:formatCode>
                <c:ptCount val="5"/>
                <c:pt idx="0">
                  <c:v>2E-3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2.5000000000000001E-2</c:v>
                </c:pt>
                <c:pt idx="4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B-4BB9-BA67-F6A24756C2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4"/>
        <c:overlap val="-27"/>
        <c:axId val="679539296"/>
        <c:axId val="679540544"/>
      </c:barChart>
      <c:catAx>
        <c:axId val="679539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540544"/>
        <c:crosses val="autoZero"/>
        <c:auto val="1"/>
        <c:lblAlgn val="ctr"/>
        <c:lblOffset val="100"/>
        <c:noMultiLvlLbl val="0"/>
      </c:catAx>
      <c:valAx>
        <c:axId val="6795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Доля промахов в </a:t>
                </a:r>
                <a:r>
                  <a:rPr lang="en-US"/>
                  <a:t>L1D</a:t>
                </a:r>
                <a:r>
                  <a:rPr lang="ru-RU"/>
                  <a:t> на тысячу инструкций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53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245326625838436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AA-41BF-B3F9-D38F2C17EA5B}"/>
                </c:ext>
              </c:extLst>
            </c:dLbl>
            <c:dLbl>
              <c:idx val="1"/>
              <c:layout>
                <c:manualLayout>
                  <c:x val="0"/>
                  <c:y val="-0.3510863225430154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AA-41BF-B3F9-D38F2C17EA5B}"/>
                </c:ext>
              </c:extLst>
            </c:dLbl>
            <c:dLbl>
              <c:idx val="2"/>
              <c:layout>
                <c:manualLayout>
                  <c:x val="0"/>
                  <c:y val="-0.2448713181685623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AA-41BF-B3F9-D38F2C17EA5B}"/>
                </c:ext>
              </c:extLst>
            </c:dLbl>
            <c:dLbl>
              <c:idx val="3"/>
              <c:layout>
                <c:manualLayout>
                  <c:x val="0"/>
                  <c:y val="-0.102843759113444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AA-41BF-B3F9-D38F2C17EA5B}"/>
                </c:ext>
              </c:extLst>
            </c:dLbl>
            <c:dLbl>
              <c:idx val="4"/>
              <c:layout>
                <c:manualLayout>
                  <c:x val="-2.0370135052831988E-16"/>
                  <c:y val="-0.1028437591134442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AA-41BF-B3F9-D38F2C17EA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B_S_INSTR!$A$7:$A$11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   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B_S_INSTR!$F$7:$F$11</c:f>
              <c:numCache>
                <c:formatCode>General</c:formatCode>
                <c:ptCount val="5"/>
                <c:pt idx="0">
                  <c:v>275</c:v>
                </c:pt>
                <c:pt idx="1">
                  <c:v>300</c:v>
                </c:pt>
                <c:pt idx="2">
                  <c:v>200</c:v>
                </c:pt>
                <c:pt idx="3">
                  <c:v>75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AA-41BF-B3F9-D38F2C17EA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430249600"/>
        <c:axId val="430248352"/>
      </c:barChart>
      <c:catAx>
        <c:axId val="430249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248352"/>
        <c:crosses val="autoZero"/>
        <c:auto val="1"/>
        <c:lblAlgn val="ctr"/>
        <c:lblOffset val="100"/>
        <c:noMultiLvlLbl val="0"/>
      </c:catAx>
      <c:valAx>
        <c:axId val="4302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промахов в кеш для операций (тыс.)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24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HIT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B_S_INSTR!$A$7:$A$11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   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B_S_INSTR!$J$7:$J$11</c:f>
              <c:numCache>
                <c:formatCode>0</c:formatCode>
                <c:ptCount val="5"/>
                <c:pt idx="0">
                  <c:v>4725</c:v>
                </c:pt>
                <c:pt idx="1">
                  <c:v>4675</c:v>
                </c:pt>
                <c:pt idx="2">
                  <c:v>4250</c:v>
                </c:pt>
                <c:pt idx="3">
                  <c:v>1950</c:v>
                </c:pt>
                <c:pt idx="4">
                  <c:v>1925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5-494C-AB67-0E934EF95535}"/>
            </c:ext>
          </c:extLst>
        </c:ser>
        <c:ser>
          <c:idx val="1"/>
          <c:order val="1"/>
          <c:tx>
            <c:v>ACCESS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B_S_INSTR!$A$7:$A$11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   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B_S_INSTR!$K$7:$K$11</c:f>
              <c:numCache>
                <c:formatCode>0</c:formatCode>
                <c:ptCount val="5"/>
                <c:pt idx="0">
                  <c:v>2675</c:v>
                </c:pt>
                <c:pt idx="1">
                  <c:v>4525</c:v>
                </c:pt>
                <c:pt idx="2">
                  <c:v>3050</c:v>
                </c:pt>
                <c:pt idx="3">
                  <c:v>1400</c:v>
                </c:pt>
                <c:pt idx="4">
                  <c:v>1325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5-494C-AB67-0E934EF95535}"/>
            </c:ext>
          </c:extLst>
        </c:ser>
        <c:ser>
          <c:idx val="2"/>
          <c:order val="2"/>
          <c:tx>
            <c:v>MISS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B_S_INSTR!$A$7:$A$11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   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B_S_INSTR!$L$7:$L$11</c:f>
              <c:numCache>
                <c:formatCode>0</c:formatCode>
                <c:ptCount val="5"/>
                <c:pt idx="0">
                  <c:v>2550</c:v>
                </c:pt>
                <c:pt idx="1">
                  <c:v>4025</c:v>
                </c:pt>
                <c:pt idx="2">
                  <c:v>2625</c:v>
                </c:pt>
                <c:pt idx="3">
                  <c:v>200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F5-494C-AB67-0E934EF955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7775664"/>
        <c:axId val="1077776912"/>
      </c:barChart>
      <c:catAx>
        <c:axId val="10777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7776912"/>
        <c:crosses val="autoZero"/>
        <c:auto val="1"/>
        <c:lblAlgn val="ctr"/>
        <c:lblOffset val="100"/>
        <c:noMultiLvlLbl val="0"/>
      </c:catAx>
      <c:valAx>
        <c:axId val="107777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baseline="0">
                    <a:effectLst/>
                  </a:rPr>
                  <a:t>Количество обращений к </a:t>
                </a:r>
                <a:r>
                  <a:rPr lang="en-US" sz="1000" b="0" i="0" baseline="0">
                    <a:effectLst/>
                  </a:rPr>
                  <a:t>L2 </a:t>
                </a:r>
                <a:r>
                  <a:rPr lang="ru-RU" sz="1000" b="0" i="0" baseline="0">
                    <a:effectLst/>
                  </a:rPr>
                  <a:t>из-за промаха в </a:t>
                </a:r>
                <a:r>
                  <a:rPr lang="en-US" sz="1000" b="0" i="0" baseline="0">
                    <a:effectLst/>
                  </a:rPr>
                  <a:t>L1 </a:t>
                </a:r>
                <a:r>
                  <a:rPr lang="ru-RU" sz="1000" b="0" i="0" baseline="0">
                    <a:effectLst/>
                  </a:rPr>
                  <a:t>(тыс.)</a:t>
                </a:r>
                <a:endParaRPr lang="ru-RU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777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L1</c:v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B_S_INSTR!$C$13:$C$17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B_S_INSTR!$I$13:$I$17</c:f>
              <c:numCache>
                <c:formatCode>0.00%</c:formatCode>
                <c:ptCount val="5"/>
                <c:pt idx="0">
                  <c:v>2E-3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2.5000000000000001E-2</c:v>
                </c:pt>
                <c:pt idx="4">
                  <c:v>2.4E-2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6-432A-B35C-B944B3CFE023}"/>
            </c:ext>
          </c:extLst>
        </c:ser>
        <c:ser>
          <c:idx val="1"/>
          <c:order val="1"/>
          <c:tx>
            <c:v>L2</c:v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B_S_INSTR!$C$13:$C$17</c:f>
              <c:strCache>
                <c:ptCount val="5"/>
                <c:pt idx="0">
                  <c:v>опт.</c:v>
                </c:pt>
                <c:pt idx="1">
                  <c:v>наивное</c:v>
                </c:pt>
                <c:pt idx="2">
                  <c:v>bitset</c:v>
                </c:pt>
                <c:pt idx="3">
                  <c:v>bitset буф.</c:v>
                </c:pt>
                <c:pt idx="4">
                  <c:v>буфер.</c:v>
                </c:pt>
              </c:strCache>
            </c:strRef>
          </c:cat>
          <c:val>
            <c:numRef>
              <c:f>B_S_INSTR!$J$13:$J$17</c:f>
              <c:numCache>
                <c:formatCode>0.00%</c:formatCode>
                <c:ptCount val="5"/>
                <c:pt idx="0">
                  <c:v>0.35051546391752575</c:v>
                </c:pt>
                <c:pt idx="1">
                  <c:v>0.46264367816091956</c:v>
                </c:pt>
                <c:pt idx="2">
                  <c:v>0.38181818181818183</c:v>
                </c:pt>
                <c:pt idx="3">
                  <c:v>9.3023255813953487E-2</c:v>
                </c:pt>
                <c:pt idx="4">
                  <c:v>9.4117647058823528E-2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66-432A-B35C-B944B3CFE0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12"/>
        <c:axId val="908265408"/>
        <c:axId val="908269984"/>
      </c:barChart>
      <c:catAx>
        <c:axId val="908265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269984"/>
        <c:crosses val="autoZero"/>
        <c:auto val="1"/>
        <c:lblAlgn val="ctr"/>
        <c:lblOffset val="100"/>
        <c:noMultiLvlLbl val="0"/>
      </c:catAx>
      <c:valAx>
        <c:axId val="9082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Доля промахов в кеш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826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ACCESS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SUM_INSTR!$A$2:$A$7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SUM_INSTR!$H$2:$H$7</c:f>
              <c:numCache>
                <c:formatCode>0.000</c:formatCode>
                <c:ptCount val="6"/>
                <c:pt idx="0">
                  <c:v>1127.2719999999999</c:v>
                </c:pt>
                <c:pt idx="1">
                  <c:v>1395.325</c:v>
                </c:pt>
                <c:pt idx="2">
                  <c:v>1098.9179999999999</c:v>
                </c:pt>
                <c:pt idx="3">
                  <c:v>1101.1199999999999</c:v>
                </c:pt>
                <c:pt idx="4">
                  <c:v>1034.5740000000001</c:v>
                </c:pt>
                <c:pt idx="5">
                  <c:v>1087.068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D-4372-8079-642C300C8C75}"/>
            </c:ext>
          </c:extLst>
        </c:ser>
        <c:ser>
          <c:idx val="1"/>
          <c:order val="1"/>
          <c:tx>
            <c:v>MISS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SUM_INSTR!$A$2:$A$7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SUM_INSTR!$I$2:$I$7</c:f>
              <c:numCache>
                <c:formatCode>0.000</c:formatCode>
                <c:ptCount val="6"/>
                <c:pt idx="0">
                  <c:v>2.5710000000000002</c:v>
                </c:pt>
                <c:pt idx="1">
                  <c:v>341.541</c:v>
                </c:pt>
                <c:pt idx="2">
                  <c:v>44.607999999999997</c:v>
                </c:pt>
                <c:pt idx="3">
                  <c:v>44.219000000000001</c:v>
                </c:pt>
                <c:pt idx="4">
                  <c:v>37.456000000000003</c:v>
                </c:pt>
                <c:pt idx="5">
                  <c:v>91.316999999999993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D-4372-8079-642C300C8C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3672464"/>
        <c:axId val="1023674544"/>
      </c:barChart>
      <c:catAx>
        <c:axId val="1023672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3674544"/>
        <c:crosses val="autoZero"/>
        <c:auto val="1"/>
        <c:lblAlgn val="ctr"/>
        <c:lblOffset val="100"/>
        <c:noMultiLvlLbl val="0"/>
      </c:catAx>
      <c:valAx>
        <c:axId val="1023674544"/>
        <c:scaling>
          <c:orientation val="minMax"/>
          <c:max val="1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использования</a:t>
                </a:r>
                <a:r>
                  <a:rPr lang="en-US"/>
                  <a:t> L1D </a:t>
                </a:r>
                <a:r>
                  <a:rPr lang="ru-RU"/>
                  <a:t>на тысячу инструкций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36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ACCESS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SUM_INSTR!$A$15:$A$20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SUM_INSTR!$K$15:$K$20</c:f>
              <c:numCache>
                <c:formatCode>0.00</c:formatCode>
                <c:ptCount val="6"/>
                <c:pt idx="0">
                  <c:v>2.5711554565807737</c:v>
                </c:pt>
                <c:pt idx="1">
                  <c:v>341.54103025597061</c:v>
                </c:pt>
                <c:pt idx="2">
                  <c:v>44.60802760924836</c:v>
                </c:pt>
                <c:pt idx="3">
                  <c:v>44.21933988711546</c:v>
                </c:pt>
                <c:pt idx="4">
                  <c:v>37.4556446313576</c:v>
                </c:pt>
                <c:pt idx="5">
                  <c:v>91.317527335715056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A-4534-95A7-26D1A1B57E69}"/>
            </c:ext>
          </c:extLst>
        </c:ser>
        <c:ser>
          <c:idx val="0"/>
          <c:order val="1"/>
          <c:tx>
            <c:v>HIT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SUM_INSTR!$A$15:$A$20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SUM_INSTR!$J$15:$J$20</c:f>
              <c:numCache>
                <c:formatCode>0.00</c:formatCode>
                <c:ptCount val="6"/>
                <c:pt idx="0">
                  <c:v>2.478264359649089</c:v>
                </c:pt>
                <c:pt idx="1">
                  <c:v>310.9708750936943</c:v>
                </c:pt>
                <c:pt idx="2">
                  <c:v>58.761438838355559</c:v>
                </c:pt>
                <c:pt idx="3">
                  <c:v>60.628714536687475</c:v>
                </c:pt>
                <c:pt idx="4">
                  <c:v>60.276364455625853</c:v>
                </c:pt>
                <c:pt idx="5">
                  <c:v>157.9517159250839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A-4534-95A7-26D1A1B57E69}"/>
            </c:ext>
          </c:extLst>
        </c:ser>
        <c:ser>
          <c:idx val="2"/>
          <c:order val="2"/>
          <c:tx>
            <c:v>MISS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SUM_INSTR!$A$15:$A$20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SUM_INSTR!$L$15:$L$20</c:f>
              <c:numCache>
                <c:formatCode>0.00</c:formatCode>
                <c:ptCount val="6"/>
                <c:pt idx="0">
                  <c:v>0.86336140280278728</c:v>
                </c:pt>
                <c:pt idx="1">
                  <c:v>17.078173600420108</c:v>
                </c:pt>
                <c:pt idx="2">
                  <c:v>3.5154062910168977</c:v>
                </c:pt>
                <c:pt idx="3">
                  <c:v>3.5136246402272642</c:v>
                </c:pt>
                <c:pt idx="4">
                  <c:v>2.7974391228432496</c:v>
                </c:pt>
                <c:pt idx="5">
                  <c:v>3.2207426653675437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A-4534-95A7-26D1A1B57E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7109872"/>
        <c:axId val="1827111536"/>
      </c:barChart>
      <c:catAx>
        <c:axId val="1827109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7111536"/>
        <c:crosses val="autoZero"/>
        <c:auto val="1"/>
        <c:lblAlgn val="ctr"/>
        <c:lblOffset val="100"/>
        <c:noMultiLvlLbl val="0"/>
      </c:catAx>
      <c:valAx>
        <c:axId val="18271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использования </a:t>
                </a:r>
                <a:r>
                  <a:rPr lang="en-US" baseline="0"/>
                  <a:t>L2 </a:t>
                </a:r>
                <a:r>
                  <a:rPr lang="ru-RU" baseline="0"/>
                  <a:t>из-за промаха в </a:t>
                </a:r>
                <a:r>
                  <a:rPr lang="en-US" baseline="0"/>
                  <a:t>L1</a:t>
                </a:r>
                <a:r>
                  <a:rPr lang="ru-RU" baseline="0"/>
                  <a:t> на тысячу инструкций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710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SUM_INSTR!$A$2:$A$7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SUM_INSTR!$D$2:$D$7</c:f>
              <c:numCache>
                <c:formatCode>0.000</c:formatCode>
                <c:ptCount val="6"/>
                <c:pt idx="0">
                  <c:v>14.114000000000001</c:v>
                </c:pt>
                <c:pt idx="1">
                  <c:v>8.1989999999999998</c:v>
                </c:pt>
                <c:pt idx="2">
                  <c:v>5.5209999999999999</c:v>
                </c:pt>
                <c:pt idx="3">
                  <c:v>5.3890000000000002</c:v>
                </c:pt>
                <c:pt idx="4">
                  <c:v>6.1849999999999996</c:v>
                </c:pt>
                <c:pt idx="5">
                  <c:v>5.7480000000000002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F-42E1-9C82-5365A41C0C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9"/>
        <c:overlap val="-75"/>
        <c:axId val="699260640"/>
        <c:axId val="699249408"/>
      </c:barChart>
      <c:catAx>
        <c:axId val="69926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9249408"/>
        <c:crosses val="autoZero"/>
        <c:auto val="1"/>
        <c:lblAlgn val="ctr"/>
        <c:lblOffset val="100"/>
        <c:noMultiLvlLbl val="0"/>
      </c:catAx>
      <c:valAx>
        <c:axId val="69924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инструкций</a:t>
                </a:r>
                <a:r>
                  <a:rPr lang="ru-RU" baseline="0"/>
                  <a:t> за цикл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926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SUM_INSTR!$A$2:$A$7</c:f>
              <c:strCache>
                <c:ptCount val="6"/>
                <c:pt idx="0">
                  <c:v>Наивный</c:v>
                </c:pt>
                <c:pt idx="1">
                  <c:v>SSE</c:v>
                </c:pt>
                <c:pt idx="2">
                  <c:v>Скалярный опт.</c:v>
                </c:pt>
                <c:pt idx="3">
                  <c:v>Скалярный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SUM_INSTR!$N$2:$N$7</c:f>
              <c:numCache>
                <c:formatCode>0.000</c:formatCode>
                <c:ptCount val="6"/>
                <c:pt idx="0">
                  <c:v>186.88200000000001</c:v>
                </c:pt>
                <c:pt idx="1">
                  <c:v>66.647000000000006</c:v>
                </c:pt>
                <c:pt idx="2">
                  <c:v>94.603999999999999</c:v>
                </c:pt>
                <c:pt idx="3">
                  <c:v>95.027000000000001</c:v>
                </c:pt>
                <c:pt idx="4">
                  <c:v>66.433999999999997</c:v>
                </c:pt>
                <c:pt idx="5">
                  <c:v>93.022999999999996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A-4B7D-8BE0-81225A50F5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9207632"/>
        <c:axId val="1249200976"/>
      </c:barChart>
      <c:catAx>
        <c:axId val="124920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9200976"/>
        <c:crosses val="autoZero"/>
        <c:auto val="1"/>
        <c:lblAlgn val="ctr"/>
        <c:lblOffset val="100"/>
        <c:noMultiLvlLbl val="0"/>
      </c:catAx>
      <c:valAx>
        <c:axId val="12492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ошибочно выполненных операций ветвления на тысячу инструкций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920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SUM!$D$18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SUM!$A$61:$A$66</c:f>
              <c:strCache>
                <c:ptCount val="6"/>
                <c:pt idx="0">
                  <c:v>Скалярное</c:v>
                </c:pt>
                <c:pt idx="1">
                  <c:v>Наивное</c:v>
                </c:pt>
                <c:pt idx="2">
                  <c:v>Скалярное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SUM!$D$61:$D$66</c:f>
              <c:numCache>
                <c:formatCode>0.00</c:formatCode>
                <c:ptCount val="6"/>
                <c:pt idx="0">
                  <c:v>1354.34</c:v>
                </c:pt>
                <c:pt idx="1">
                  <c:v>35171.64</c:v>
                </c:pt>
                <c:pt idx="2">
                  <c:v>1348.76</c:v>
                </c:pt>
                <c:pt idx="3">
                  <c:v>12754.86</c:v>
                </c:pt>
                <c:pt idx="4">
                  <c:v>1027.9000000000001</c:v>
                </c:pt>
                <c:pt idx="5">
                  <c:v>409.8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5-4E7F-827C-CD9AEA9DDF47}"/>
            </c:ext>
          </c:extLst>
        </c:ser>
        <c:ser>
          <c:idx val="3"/>
          <c:order val="1"/>
          <c:tx>
            <c:strRef>
              <c:f>SUM!$I$17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SUM!$A$61:$A$66</c:f>
              <c:strCache>
                <c:ptCount val="6"/>
                <c:pt idx="0">
                  <c:v>Скалярное</c:v>
                </c:pt>
                <c:pt idx="1">
                  <c:v>Наивное</c:v>
                </c:pt>
                <c:pt idx="2">
                  <c:v>Скалярное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SUM!$I$61:$I$66</c:f>
              <c:numCache>
                <c:formatCode>0.00</c:formatCode>
                <c:ptCount val="6"/>
                <c:pt idx="0">
                  <c:v>1384.55</c:v>
                </c:pt>
                <c:pt idx="1">
                  <c:v>36245.25</c:v>
                </c:pt>
                <c:pt idx="2">
                  <c:v>1374.16</c:v>
                </c:pt>
                <c:pt idx="3">
                  <c:v>14595.16</c:v>
                </c:pt>
                <c:pt idx="4">
                  <c:v>1045.02</c:v>
                </c:pt>
                <c:pt idx="5">
                  <c:v>419.47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C5-4E7F-827C-CD9AEA9DDF47}"/>
            </c:ext>
          </c:extLst>
        </c:ser>
        <c:ser>
          <c:idx val="0"/>
          <c:order val="2"/>
          <c:tx>
            <c:strRef>
              <c:f>SUM!$B$18</c:f>
              <c:strCache>
                <c:ptCount val="1"/>
                <c:pt idx="0">
                  <c:v>СрВр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SUM!$A$61:$A$66</c:f>
              <c:strCache>
                <c:ptCount val="6"/>
                <c:pt idx="0">
                  <c:v>Скалярное</c:v>
                </c:pt>
                <c:pt idx="1">
                  <c:v>Наивное</c:v>
                </c:pt>
                <c:pt idx="2">
                  <c:v>Скалярное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SUM!$B$61:$B$66</c:f>
              <c:numCache>
                <c:formatCode>0.00</c:formatCode>
                <c:ptCount val="6"/>
                <c:pt idx="0">
                  <c:v>1439.3626000000002</c:v>
                </c:pt>
                <c:pt idx="1">
                  <c:v>36355.517339999999</c:v>
                </c:pt>
                <c:pt idx="2">
                  <c:v>1409.1976199999999</c:v>
                </c:pt>
                <c:pt idx="3">
                  <c:v>14631.21176</c:v>
                </c:pt>
                <c:pt idx="4">
                  <c:v>1072.50766</c:v>
                </c:pt>
                <c:pt idx="5">
                  <c:v>431.95422000000002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5-4E7F-827C-CD9AEA9DDF47}"/>
            </c:ext>
          </c:extLst>
        </c:ser>
        <c:ser>
          <c:idx val="2"/>
          <c:order val="3"/>
          <c:tx>
            <c:strRef>
              <c:f>SUM!$E$18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SUM!$A$61:$A$66</c:f>
              <c:strCache>
                <c:ptCount val="6"/>
                <c:pt idx="0">
                  <c:v>Скалярное</c:v>
                </c:pt>
                <c:pt idx="1">
                  <c:v>Наивное</c:v>
                </c:pt>
                <c:pt idx="2">
                  <c:v>Скалярное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SUM!$E$61:$E$66</c:f>
              <c:numCache>
                <c:formatCode>0.00</c:formatCode>
                <c:ptCount val="6"/>
                <c:pt idx="0">
                  <c:v>2148.4</c:v>
                </c:pt>
                <c:pt idx="1">
                  <c:v>40644.86</c:v>
                </c:pt>
                <c:pt idx="2">
                  <c:v>1960.56</c:v>
                </c:pt>
                <c:pt idx="3">
                  <c:v>16131.8</c:v>
                </c:pt>
                <c:pt idx="4">
                  <c:v>1615.62</c:v>
                </c:pt>
                <c:pt idx="5">
                  <c:v>696.06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C5-4E7F-827C-CD9AEA9DDF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53928720"/>
        <c:axId val="1053944112"/>
      </c:barChart>
      <c:catAx>
        <c:axId val="105392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3944112"/>
        <c:crosses val="autoZero"/>
        <c:auto val="1"/>
        <c:lblAlgn val="ctr"/>
        <c:lblOffset val="100"/>
        <c:noMultiLvlLbl val="0"/>
      </c:catAx>
      <c:valAx>
        <c:axId val="1053944112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392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SUM!$D$18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SUM!$D$61:$D$66</c15:sqref>
                  </c15:fullRef>
                </c:ext>
              </c:extLst>
              <c:f>(SUM!$D$61,SUM!$D$63:$D$66)</c:f>
              <c:numCache>
                <c:formatCode>0.00</c:formatCode>
                <c:ptCount val="5"/>
                <c:pt idx="0">
                  <c:v>1354.34</c:v>
                </c:pt>
                <c:pt idx="1">
                  <c:v>1348.76</c:v>
                </c:pt>
                <c:pt idx="2">
                  <c:v>12754.86</c:v>
                </c:pt>
                <c:pt idx="3">
                  <c:v>1027.9000000000001</c:v>
                </c:pt>
                <c:pt idx="4">
                  <c:v>409.8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B-4863-AB55-F51FB902733B}"/>
            </c:ext>
          </c:extLst>
        </c:ser>
        <c:ser>
          <c:idx val="3"/>
          <c:order val="1"/>
          <c:tx>
            <c:strRef>
              <c:f>SUM!$I$17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SUM!$I$61:$I$66</c15:sqref>
                  </c15:fullRef>
                </c:ext>
              </c:extLst>
              <c:f>(SUM!$I$61,SUM!$I$63:$I$66)</c:f>
              <c:numCache>
                <c:formatCode>0.00</c:formatCode>
                <c:ptCount val="5"/>
                <c:pt idx="0">
                  <c:v>1384.55</c:v>
                </c:pt>
                <c:pt idx="1">
                  <c:v>1374.16</c:v>
                </c:pt>
                <c:pt idx="2">
                  <c:v>14595.16</c:v>
                </c:pt>
                <c:pt idx="3">
                  <c:v>1045.02</c:v>
                </c:pt>
                <c:pt idx="4">
                  <c:v>419.47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8B-4863-AB55-F51FB902733B}"/>
            </c:ext>
          </c:extLst>
        </c:ser>
        <c:ser>
          <c:idx val="0"/>
          <c:order val="2"/>
          <c:tx>
            <c:strRef>
              <c:f>SUM!$B$18</c:f>
              <c:strCache>
                <c:ptCount val="1"/>
                <c:pt idx="0">
                  <c:v>СрВр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SUM!$B$61:$B$66</c15:sqref>
                  </c15:fullRef>
                </c:ext>
              </c:extLst>
              <c:f>(SUM!$B$61,SUM!$B$63:$B$66)</c:f>
              <c:numCache>
                <c:formatCode>0.00</c:formatCode>
                <c:ptCount val="5"/>
                <c:pt idx="0">
                  <c:v>1439.3626000000002</c:v>
                </c:pt>
                <c:pt idx="1">
                  <c:v>1409.1976199999999</c:v>
                </c:pt>
                <c:pt idx="2">
                  <c:v>14631.21176</c:v>
                </c:pt>
                <c:pt idx="3">
                  <c:v>1072.50766</c:v>
                </c:pt>
                <c:pt idx="4">
                  <c:v>431.95422000000002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8B-4863-AB55-F51FB902733B}"/>
            </c:ext>
          </c:extLst>
        </c:ser>
        <c:ser>
          <c:idx val="2"/>
          <c:order val="3"/>
          <c:tx>
            <c:strRef>
              <c:f>SUM!$E$18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SUM!$E$61:$E$66</c15:sqref>
                  </c15:fullRef>
                </c:ext>
              </c:extLst>
              <c:f>(SUM!$E$61,SUM!$E$63:$E$66)</c:f>
              <c:numCache>
                <c:formatCode>0.00</c:formatCode>
                <c:ptCount val="5"/>
                <c:pt idx="0">
                  <c:v>2148.4</c:v>
                </c:pt>
                <c:pt idx="1">
                  <c:v>1960.56</c:v>
                </c:pt>
                <c:pt idx="2">
                  <c:v>16131.8</c:v>
                </c:pt>
                <c:pt idx="3">
                  <c:v>1615.62</c:v>
                </c:pt>
                <c:pt idx="4">
                  <c:v>696.06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8B-4863-AB55-F51FB90273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53928720"/>
        <c:axId val="1053944112"/>
      </c:barChart>
      <c:catAx>
        <c:axId val="105392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3944112"/>
        <c:crosses val="autoZero"/>
        <c:auto val="1"/>
        <c:lblAlgn val="ctr"/>
        <c:lblOffset val="100"/>
        <c:noMultiLvlLbl val="0"/>
      </c:catAx>
      <c:valAx>
        <c:axId val="105394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392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SUM!$F$17</c:f>
              <c:strCache>
                <c:ptCount val="1"/>
                <c:pt idx="0">
                  <c:v>0,01%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SUM!$F$61:$F$66</c15:sqref>
                  </c15:fullRef>
                </c:ext>
              </c:extLst>
              <c:f>(SUM!$F$61,SUM!$F$63:$F$66)</c:f>
              <c:numCache>
                <c:formatCode>0.00</c:formatCode>
                <c:ptCount val="5"/>
                <c:pt idx="0">
                  <c:v>1354.4997880000001</c:v>
                </c:pt>
                <c:pt idx="1">
                  <c:v>1348.8319279999998</c:v>
                </c:pt>
                <c:pt idx="2">
                  <c:v>12814.220580000001</c:v>
                </c:pt>
                <c:pt idx="3">
                  <c:v>1027.957942</c:v>
                </c:pt>
                <c:pt idx="4">
                  <c:v>409.83796199999995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A-4B24-8B65-0A18290836CF}"/>
            </c:ext>
          </c:extLst>
        </c:ser>
        <c:ser>
          <c:idx val="1"/>
          <c:order val="1"/>
          <c:tx>
            <c:strRef>
              <c:f>SUM!$G$17</c:f>
              <c:strCache>
                <c:ptCount val="1"/>
                <c:pt idx="0">
                  <c:v>0,1%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SUM!$G$61:$G$66</c15:sqref>
                  </c15:fullRef>
                </c:ext>
              </c:extLst>
              <c:f>(SUM!$G$61,SUM!$G$63:$G$66)</c:f>
              <c:numCache>
                <c:formatCode>0.00</c:formatCode>
                <c:ptCount val="5"/>
                <c:pt idx="0">
                  <c:v>1355.9382800000001</c:v>
                </c:pt>
                <c:pt idx="1">
                  <c:v>1349.4792799999998</c:v>
                </c:pt>
                <c:pt idx="2">
                  <c:v>13348.4658</c:v>
                </c:pt>
                <c:pt idx="3">
                  <c:v>1028.4794200000001</c:v>
                </c:pt>
                <c:pt idx="4">
                  <c:v>410.17962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A-4B24-8B65-0A18290836CF}"/>
            </c:ext>
          </c:extLst>
        </c:ser>
        <c:ser>
          <c:idx val="2"/>
          <c:order val="2"/>
          <c:tx>
            <c:strRef>
              <c:f>SUM!$H$17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SUM!$H$61:$H$66</c15:sqref>
                  </c15:fullRef>
                </c:ext>
              </c:extLst>
              <c:f>(SUM!$H$61,SUM!$H$63:$H$66)</c:f>
              <c:numCache>
                <c:formatCode>0.00</c:formatCode>
                <c:ptCount val="5"/>
                <c:pt idx="0">
                  <c:v>1359.059</c:v>
                </c:pt>
                <c:pt idx="1">
                  <c:v>1353.6586000000002</c:v>
                </c:pt>
                <c:pt idx="2">
                  <c:v>13791.613800000001</c:v>
                </c:pt>
                <c:pt idx="3">
                  <c:v>1030.2598</c:v>
                </c:pt>
                <c:pt idx="4">
                  <c:v>410.92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A-4B24-8B65-0A18290836CF}"/>
            </c:ext>
          </c:extLst>
        </c:ser>
        <c:ser>
          <c:idx val="3"/>
          <c:order val="3"/>
          <c:tx>
            <c:strRef>
              <c:f>SUM!$I$17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SUM!$I$61:$I$66</c15:sqref>
                  </c15:fullRef>
                </c:ext>
              </c:extLst>
              <c:f>(SUM!$I$61,SUM!$I$63:$I$66)</c:f>
              <c:numCache>
                <c:formatCode>0.00</c:formatCode>
                <c:ptCount val="5"/>
                <c:pt idx="0">
                  <c:v>1384.55</c:v>
                </c:pt>
                <c:pt idx="1">
                  <c:v>1374.16</c:v>
                </c:pt>
                <c:pt idx="2">
                  <c:v>14595.16</c:v>
                </c:pt>
                <c:pt idx="3">
                  <c:v>1045.02</c:v>
                </c:pt>
                <c:pt idx="4">
                  <c:v>419.47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A-4B24-8B65-0A18290836CF}"/>
            </c:ext>
          </c:extLst>
        </c:ser>
        <c:ser>
          <c:idx val="4"/>
          <c:order val="4"/>
          <c:tx>
            <c:strRef>
              <c:f>SUM!$J$17</c:f>
              <c:strCache>
                <c:ptCount val="1"/>
                <c:pt idx="0">
                  <c:v>99%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SUM!$J$61:$J$66</c15:sqref>
                  </c15:fullRef>
                </c:ext>
              </c:extLst>
              <c:f>(SUM!$J$61,SUM!$J$63:$J$66)</c:f>
              <c:numCache>
                <c:formatCode>0.00</c:formatCode>
                <c:ptCount val="5"/>
                <c:pt idx="0">
                  <c:v>1969.2692</c:v>
                </c:pt>
                <c:pt idx="1">
                  <c:v>1712.5873999999999</c:v>
                </c:pt>
                <c:pt idx="2">
                  <c:v>15610.050800000001</c:v>
                </c:pt>
                <c:pt idx="3">
                  <c:v>1329.5918000000001</c:v>
                </c:pt>
                <c:pt idx="4">
                  <c:v>556.25159999999994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CA-4B24-8B65-0A18290836CF}"/>
            </c:ext>
          </c:extLst>
        </c:ser>
        <c:ser>
          <c:idx val="5"/>
          <c:order val="5"/>
          <c:tx>
            <c:strRef>
              <c:f>SUM!$K$17</c:f>
              <c:strCache>
                <c:ptCount val="1"/>
                <c:pt idx="0">
                  <c:v>99,9%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SUM!$K$61:$K$66</c15:sqref>
                  </c15:fullRef>
                </c:ext>
              </c:extLst>
              <c:f>(SUM!$K$61,SUM!$K$63:$K$66)</c:f>
              <c:numCache>
                <c:formatCode>0.00</c:formatCode>
                <c:ptCount val="5"/>
                <c:pt idx="0">
                  <c:v>2082.9654999999998</c:v>
                </c:pt>
                <c:pt idx="1">
                  <c:v>1815.0256800000002</c:v>
                </c:pt>
                <c:pt idx="2">
                  <c:v>15921.370639999997</c:v>
                </c:pt>
                <c:pt idx="3">
                  <c:v>1565.7499200000002</c:v>
                </c:pt>
                <c:pt idx="4">
                  <c:v>684.17190000000005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CA-4B24-8B65-0A18290836CF}"/>
            </c:ext>
          </c:extLst>
        </c:ser>
        <c:ser>
          <c:idx val="6"/>
          <c:order val="6"/>
          <c:tx>
            <c:strRef>
              <c:f>SUM!$L$17</c:f>
              <c:strCache>
                <c:ptCount val="1"/>
                <c:pt idx="0">
                  <c:v>99,99%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SUM!$A$61:$A$66</c15:sqref>
                  </c15:fullRef>
                </c:ext>
              </c:extLst>
              <c:f>(SUM!$A$61,SUM!$A$63:$A$66)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SUM!$L$61:$L$66</c15:sqref>
                  </c15:fullRef>
                </c:ext>
              </c:extLst>
              <c:f>(SUM!$L$61,SUM!$L$63:$L$66)</c:f>
              <c:numCache>
                <c:formatCode>0.00</c:formatCode>
                <c:ptCount val="5"/>
                <c:pt idx="0">
                  <c:v>2141.8566700000001</c:v>
                </c:pt>
                <c:pt idx="1">
                  <c:v>1946.006568</c:v>
                </c:pt>
                <c:pt idx="2">
                  <c:v>16110.757064000001</c:v>
                </c:pt>
                <c:pt idx="3">
                  <c:v>1610.6329920000001</c:v>
                </c:pt>
                <c:pt idx="4">
                  <c:v>694.87119000000007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7CA-4B24-8B65-0A18290836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4"/>
        <c:overlap val="-5"/>
        <c:axId val="35601119"/>
        <c:axId val="35611935"/>
      </c:barChart>
      <c:catAx>
        <c:axId val="3560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11935"/>
        <c:crosses val="autoZero"/>
        <c:auto val="1"/>
        <c:lblAlgn val="ctr"/>
        <c:lblOffset val="100"/>
        <c:noMultiLvlLbl val="0"/>
      </c:catAx>
      <c:valAx>
        <c:axId val="35611935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(микросекунды)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0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SUM!$M$54:$M$59</c:f>
              <c:strCache>
                <c:ptCount val="6"/>
                <c:pt idx="0">
                  <c:v>8,53</c:v>
                </c:pt>
                <c:pt idx="1">
                  <c:v>1,99</c:v>
                </c:pt>
                <c:pt idx="2">
                  <c:v>5,69</c:v>
                </c:pt>
                <c:pt idx="3">
                  <c:v>2,56</c:v>
                </c:pt>
                <c:pt idx="4">
                  <c:v>6,22</c:v>
                </c:pt>
                <c:pt idx="5">
                  <c:v>7,74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SUM!$A$61:$A$66</c:f>
              <c:strCache>
                <c:ptCount val="6"/>
                <c:pt idx="0">
                  <c:v>Скалярное</c:v>
                </c:pt>
                <c:pt idx="1">
                  <c:v>Наивное</c:v>
                </c:pt>
                <c:pt idx="2">
                  <c:v>Скалярное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SUM!$M$61:$M$66</c:f>
              <c:numCache>
                <c:formatCode>0.00</c:formatCode>
                <c:ptCount val="6"/>
                <c:pt idx="0">
                  <c:v>8.5320000000000007E-2</c:v>
                </c:pt>
                <c:pt idx="1">
                  <c:v>1.9879999999999998E-2</c:v>
                </c:pt>
                <c:pt idx="2">
                  <c:v>5.6939999999999998E-2</c:v>
                </c:pt>
                <c:pt idx="3">
                  <c:v>2.5579999999999999E-2</c:v>
                </c:pt>
                <c:pt idx="4">
                  <c:v>6.2180000000000006E-2</c:v>
                </c:pt>
                <c:pt idx="5">
                  <c:v>7.7380000000000018E-2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3-4AA2-8EE3-0C1E44F38B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"/>
        <c:overlap val="-57"/>
        <c:axId val="35602783"/>
        <c:axId val="35601535"/>
      </c:barChart>
      <c:catAx>
        <c:axId val="35602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01535"/>
        <c:crosses val="autoZero"/>
        <c:auto val="1"/>
        <c:lblAlgn val="ctr"/>
        <c:lblOffset val="100"/>
        <c:noMultiLvlLbl val="0"/>
      </c:catAx>
      <c:valAx>
        <c:axId val="3560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Коэффициент вариации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60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SUM!$D$17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SUM!$A$68:$A$73</c15:sqref>
                  </c15:fullRef>
                </c:ext>
              </c:extLst>
              <c:f>(SUM!$A$68,SUM!$A$70:$A$73)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SUM!$D$68:$D$73</c15:sqref>
                  </c15:fullRef>
                </c:ext>
              </c:extLst>
              <c:f>(SUM!$D$68,SUM!$D$70:$D$73)</c:f>
              <c:numCache>
                <c:formatCode>0.00</c:formatCode>
                <c:ptCount val="5"/>
                <c:pt idx="0">
                  <c:v>25.969579278467741</c:v>
                </c:pt>
                <c:pt idx="1">
                  <c:v>26.077018891426199</c:v>
                </c:pt>
                <c:pt idx="2">
                  <c:v>2.7575089024889334</c:v>
                </c:pt>
                <c:pt idx="3">
                  <c:v>34.216986088140864</c:v>
                </c:pt>
                <c:pt idx="4">
                  <c:v>85.826354319180084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0B-4C17-B84C-8BA1D130EAC9}"/>
            </c:ext>
          </c:extLst>
        </c:ser>
        <c:ser>
          <c:idx val="3"/>
          <c:order val="1"/>
          <c:tx>
            <c:strRef>
              <c:f>SUM!$F$17</c:f>
              <c:strCache>
                <c:ptCount val="1"/>
                <c:pt idx="0">
                  <c:v>0,01%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SUM!$A$68:$A$73</c15:sqref>
                  </c15:fullRef>
                </c:ext>
              </c:extLst>
              <c:f>(SUM!$A$68,SUM!$A$70:$A$73)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SUM!$F$68:$F$73</c15:sqref>
                  </c15:fullRef>
                </c:ext>
              </c:extLst>
              <c:f>(SUM!$F$68,SUM!$F$70:$F$73)</c:f>
              <c:numCache>
                <c:formatCode>0.00</c:formatCode>
                <c:ptCount val="5"/>
                <c:pt idx="0">
                  <c:v>25.967757712192419</c:v>
                </c:pt>
                <c:pt idx="1">
                  <c:v>26.076875543829804</c:v>
                </c:pt>
                <c:pt idx="2">
                  <c:v>2.7448663066482033</c:v>
                </c:pt>
                <c:pt idx="3">
                  <c:v>34.216693970539893</c:v>
                </c:pt>
                <c:pt idx="4">
                  <c:v>85.822509326259052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0B-4C17-B84C-8BA1D130EAC9}"/>
            </c:ext>
          </c:extLst>
        </c:ser>
        <c:ser>
          <c:idx val="6"/>
          <c:order val="4"/>
          <c:tx>
            <c:strRef>
              <c:f>SUM!$I$17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SUM!$A$68:$A$73</c15:sqref>
                  </c15:fullRef>
                </c:ext>
              </c:extLst>
              <c:f>(SUM!$A$68,SUM!$A$70:$A$73)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SUM!$I$68:$I$73</c15:sqref>
                  </c15:fullRef>
                </c:ext>
              </c:extLst>
              <c:f>(SUM!$I$68,SUM!$I$70:$I$73)</c:f>
              <c:numCache>
                <c:formatCode>0.00</c:formatCode>
                <c:ptCount val="5"/>
                <c:pt idx="0">
                  <c:v>26.178361200390018</c:v>
                </c:pt>
                <c:pt idx="1">
                  <c:v>26.376295336787564</c:v>
                </c:pt>
                <c:pt idx="2">
                  <c:v>2.4833746255608022</c:v>
                </c:pt>
                <c:pt idx="3">
                  <c:v>34.683785956249643</c:v>
                </c:pt>
                <c:pt idx="4">
                  <c:v>86.407252008486893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00B-4C17-B84C-8BA1D130EAC9}"/>
            </c:ext>
          </c:extLst>
        </c:ser>
        <c:ser>
          <c:idx val="0"/>
          <c:order val="5"/>
          <c:tx>
            <c:strRef>
              <c:f>SUM!$B$18</c:f>
              <c:strCache>
                <c:ptCount val="1"/>
                <c:pt idx="0">
                  <c:v>СрВр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SUM!$A$68:$A$73</c15:sqref>
                  </c15:fullRef>
                </c:ext>
              </c:extLst>
              <c:f>(SUM!$A$68,SUM!$A$70:$A$73)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SUM!$B$68:$B$73</c15:sqref>
                  </c15:fullRef>
                </c:ext>
              </c:extLst>
              <c:f>(SUM!$B$68,SUM!$B$70:$B$73)</c:f>
              <c:numCache>
                <c:formatCode>0.00</c:formatCode>
                <c:ptCount val="5"/>
                <c:pt idx="0">
                  <c:v>25.258067244487243</c:v>
                </c:pt>
                <c:pt idx="1">
                  <c:v>25.79873597856346</c:v>
                </c:pt>
                <c:pt idx="2">
                  <c:v>2.4847919595690411</c:v>
                </c:pt>
                <c:pt idx="3">
                  <c:v>33.897676162051837</c:v>
                </c:pt>
                <c:pt idx="4">
                  <c:v>84.165209313153596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B-4C17-B84C-8BA1D130EAC9}"/>
            </c:ext>
          </c:extLst>
        </c:ser>
        <c:ser>
          <c:idx val="9"/>
          <c:order val="8"/>
          <c:tx>
            <c:strRef>
              <c:f>SUM!$L$17</c:f>
              <c:strCache>
                <c:ptCount val="1"/>
                <c:pt idx="0">
                  <c:v>99,99%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SUM!$A$68:$A$73</c15:sqref>
                  </c15:fullRef>
                </c:ext>
              </c:extLst>
              <c:f>(SUM!$A$68,SUM!$A$70:$A$73)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SUM!$L$68:$L$73</c15:sqref>
                  </c15:fullRef>
                </c:ext>
              </c:extLst>
              <c:f>(SUM!$L$68,SUM!$L$70:$L$73)</c:f>
              <c:numCache>
                <c:formatCode>0.00</c:formatCode>
                <c:ptCount val="5"/>
                <c:pt idx="0">
                  <c:v>18.953710276981326</c:v>
                </c:pt>
                <c:pt idx="1">
                  <c:v>20.861250648153007</c:v>
                </c:pt>
                <c:pt idx="2">
                  <c:v>2.5198152151839812</c:v>
                </c:pt>
                <c:pt idx="3">
                  <c:v>25.205078363376778</c:v>
                </c:pt>
                <c:pt idx="4">
                  <c:v>58.422526883004032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0B-4C17-B84C-8BA1D130EAC9}"/>
            </c:ext>
          </c:extLst>
        </c:ser>
        <c:ser>
          <c:idx val="2"/>
          <c:order val="9"/>
          <c:tx>
            <c:strRef>
              <c:f>SUM!$E$17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SUM!$A$68:$A$73</c15:sqref>
                  </c15:fullRef>
                </c:ext>
              </c:extLst>
              <c:f>(SUM!$A$68,SUM!$A$70:$A$73)</c:f>
              <c:strCache>
                <c:ptCount val="5"/>
                <c:pt idx="0">
                  <c:v>Скалярное</c:v>
                </c:pt>
                <c:pt idx="1">
                  <c:v>Скалярное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SUM!$E$68:$E$73</c15:sqref>
                  </c15:fullRef>
                </c:ext>
              </c:extLst>
              <c:f>(SUM!$E$68,SUM!$E$70:$E$73)</c:f>
              <c:numCache>
                <c:formatCode>0.00</c:formatCode>
                <c:ptCount val="5"/>
                <c:pt idx="0">
                  <c:v>18.918665053062742</c:v>
                </c:pt>
                <c:pt idx="1">
                  <c:v>20.731250255029178</c:v>
                </c:pt>
                <c:pt idx="2">
                  <c:v>2.5195489653975378</c:v>
                </c:pt>
                <c:pt idx="3">
                  <c:v>25.157438011413578</c:v>
                </c:pt>
                <c:pt idx="4">
                  <c:v>58.392753498261648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0B-4C17-B84C-8BA1D130EA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2405744"/>
        <c:axId val="1072406992"/>
        <c:extLst>
          <c:ext xmlns:c15="http://schemas.microsoft.com/office/drawing/2012/chart" uri="{02D57815-91ED-43cb-92C2-25804820EDAC}">
            <c15:filteredBar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SUM!$G$17</c15:sqref>
                        </c15:formulaRef>
                      </c:ext>
                    </c:extLst>
                    <c:strCache>
                      <c:ptCount val="1"/>
                      <c:pt idx="0">
                        <c:v>0,1%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SUM!$A$68:$A$73</c15:sqref>
                        </c15:fullRef>
                        <c15:formulaRef>
                          <c15:sqref>(SUM!$A$68,SUM!$A$70:$A$73)</c15:sqref>
                        </c15:formulaRef>
                      </c:ext>
                    </c:extLst>
                    <c:strCache>
                      <c:ptCount val="5"/>
                      <c:pt idx="0">
                        <c:v>Скалярное</c:v>
                      </c:pt>
                      <c:pt idx="1">
                        <c:v>Скалярное опт.</c:v>
                      </c:pt>
                      <c:pt idx="2">
                        <c:v>SSE</c:v>
                      </c:pt>
                      <c:pt idx="3">
                        <c:v>SSE 2</c:v>
                      </c:pt>
                      <c:pt idx="4">
                        <c:v>AVX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SUM!$G$68:$G$73</c15:sqref>
                        </c15:fullRef>
                        <c15:formulaRef>
                          <c15:sqref>(SUM!$G$68,SUM!$G$70:$G$73)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25.951375279411682</c:v>
                      </c:pt>
                      <c:pt idx="1">
                        <c:v>26.075586103107863</c:v>
                      </c:pt>
                      <c:pt idx="2">
                        <c:v>2.6361428861734808</c:v>
                      </c:pt>
                      <c:pt idx="3">
                        <c:v>34.214066393277946</c:v>
                      </c:pt>
                      <c:pt idx="4">
                        <c:v>85.787936416733714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00B-4C17-B84C-8BA1D130EAC9}"/>
                  </c:ext>
                </c:extLst>
              </c15:ser>
            </c15:filteredBarSeries>
            <c15:filteredBarSeries>
              <c15:ser>
                <c:idx val="5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SUM!$H$17</c15:sqref>
                        </c15:formulaRef>
                      </c:ext>
                    </c:extLst>
                    <c:strCache>
                      <c:ptCount val="1"/>
                      <c:pt idx="0">
                        <c:v>1%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SUM!$A$68:$A$73</c15:sqref>
                        </c15:fullRef>
                        <c15:formulaRef>
                          <c15:sqref>(SUM!$A$68,SUM!$A$70:$A$73)</c15:sqref>
                        </c15:formulaRef>
                      </c:ext>
                    </c:extLst>
                    <c:strCache>
                      <c:ptCount val="5"/>
                      <c:pt idx="0">
                        <c:v>Скалярное</c:v>
                      </c:pt>
                      <c:pt idx="1">
                        <c:v>Скалярное опт.</c:v>
                      </c:pt>
                      <c:pt idx="2">
                        <c:v>SSE</c:v>
                      </c:pt>
                      <c:pt idx="3">
                        <c:v>SSE 2</c:v>
                      </c:pt>
                      <c:pt idx="4">
                        <c:v>AVX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SUM!$H$68:$H$73</c15:sqref>
                        </c15:fullRef>
                        <c15:formulaRef>
                          <c15:sqref>(SUM!$H$68,SUM!$H$70:$H$73)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25.957883947643186</c:v>
                      </c:pt>
                      <c:pt idx="1">
                        <c:v>26.061442523247734</c:v>
                      </c:pt>
                      <c:pt idx="2">
                        <c:v>2.5579527031129596</c:v>
                      </c:pt>
                      <c:pt idx="3">
                        <c:v>34.242135624431818</c:v>
                      </c:pt>
                      <c:pt idx="4">
                        <c:v>85.851980434147762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00B-4C17-B84C-8BA1D130EAC9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SUM!$J$17</c15:sqref>
                        </c15:formulaRef>
                      </c:ext>
                    </c:extLst>
                    <c:strCache>
                      <c:ptCount val="1"/>
                      <c:pt idx="0">
                        <c:v>99%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SUM!$A$68:$A$73</c15:sqref>
                        </c15:fullRef>
                        <c15:formulaRef>
                          <c15:sqref>(SUM!$A$68,SUM!$A$70:$A$73)</c15:sqref>
                        </c15:formulaRef>
                      </c:ext>
                    </c:extLst>
                    <c:strCache>
                      <c:ptCount val="5"/>
                      <c:pt idx="0">
                        <c:v>Скалярное</c:v>
                      </c:pt>
                      <c:pt idx="1">
                        <c:v>Скалярное опт.</c:v>
                      </c:pt>
                      <c:pt idx="2">
                        <c:v>SSE</c:v>
                      </c:pt>
                      <c:pt idx="3">
                        <c:v>SSE 2</c:v>
                      </c:pt>
                      <c:pt idx="4">
                        <c:v>AVX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SUM!$J$68:$J$73</c15:sqref>
                        </c15:fullRef>
                        <c15:formulaRef>
                          <c15:sqref>(SUM!$J$68,SUM!$J$70:$J$73)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19.628086094069818</c:v>
                      </c:pt>
                      <c:pt idx="1">
                        <c:v>22.569934474585065</c:v>
                      </c:pt>
                      <c:pt idx="2">
                        <c:v>2.4761601288318675</c:v>
                      </c:pt>
                      <c:pt idx="3">
                        <c:v>29.071317527680296</c:v>
                      </c:pt>
                      <c:pt idx="4">
                        <c:v>69.488313202155283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00B-4C17-B84C-8BA1D130EAC9}"/>
                  </c:ext>
                </c:extLst>
              </c15:ser>
            </c15:filteredBarSeries>
            <c15:filteredBar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SUM!$K$17</c15:sqref>
                        </c15:formulaRef>
                      </c:ext>
                    </c:extLst>
                    <c:strCache>
                      <c:ptCount val="1"/>
                      <c:pt idx="0">
                        <c:v>99,9%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SUM!$A$68:$A$73</c15:sqref>
                        </c15:fullRef>
                        <c15:formulaRef>
                          <c15:sqref>(SUM!$A$68,SUM!$A$70:$A$73)</c15:sqref>
                        </c15:formulaRef>
                      </c:ext>
                    </c:extLst>
                    <c:strCache>
                      <c:ptCount val="5"/>
                      <c:pt idx="0">
                        <c:v>Скалярное</c:v>
                      </c:pt>
                      <c:pt idx="1">
                        <c:v>Скалярное опт.</c:v>
                      </c:pt>
                      <c:pt idx="2">
                        <c:v>SSE</c:v>
                      </c:pt>
                      <c:pt idx="3">
                        <c:v>SSE 2</c:v>
                      </c:pt>
                      <c:pt idx="4">
                        <c:v>AVX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SUM!$K$68:$K$73</c15:sqref>
                        </c15:fullRef>
                        <c15:formulaRef>
                          <c15:sqref>(SUM!$K$68,SUM!$K$70:$K$73)</c15:sqref>
                        </c15:formulaRef>
                      </c:ext>
                    </c:extLst>
                    <c:numCache>
                      <c:formatCode>0.00</c:formatCode>
                      <c:ptCount val="5"/>
                      <c:pt idx="0">
                        <c:v>19.279036441074034</c:v>
                      </c:pt>
                      <c:pt idx="1">
                        <c:v>22.125068654675996</c:v>
                      </c:pt>
                      <c:pt idx="2">
                        <c:v>2.5222431339617377</c:v>
                      </c:pt>
                      <c:pt idx="3">
                        <c:v>25.647497896726691</c:v>
                      </c:pt>
                      <c:pt idx="4">
                        <c:v>58.695143398903092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00B-4C17-B84C-8BA1D130EAC9}"/>
                  </c:ext>
                </c:extLst>
              </c15:ser>
            </c15:filteredBarSeries>
          </c:ext>
        </c:extLst>
      </c:barChart>
      <c:catAx>
        <c:axId val="1072405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2406992"/>
        <c:crosses val="autoZero"/>
        <c:auto val="1"/>
        <c:lblAlgn val="ctr"/>
        <c:lblOffset val="100"/>
        <c:noMultiLvlLbl val="0"/>
      </c:catAx>
      <c:valAx>
        <c:axId val="107240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Множитель, во сколько раз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240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Минимальное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6727650147124292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B36-4197-ACE0-F32902234B59}"/>
                </c:ext>
              </c:extLst>
            </c:dLbl>
            <c:dLbl>
              <c:idx val="1"/>
              <c:layout>
                <c:manualLayout>
                  <c:x val="-1.393970845593696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B36-4197-ACE0-F32902234B59}"/>
                </c:ext>
              </c:extLst>
            </c:dLbl>
            <c:dLbl>
              <c:idx val="2"/>
              <c:layout>
                <c:manualLayout>
                  <c:x val="-1.11517667647495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B36-4197-ACE0-F32902234B59}"/>
                </c:ext>
              </c:extLst>
            </c:dLbl>
            <c:dLbl>
              <c:idx val="3"/>
              <c:layout>
                <c:manualLayout>
                  <c:x val="-8.36382507356214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B36-4197-ACE0-F32902234B59}"/>
                </c:ext>
              </c:extLst>
            </c:dLbl>
            <c:dLbl>
              <c:idx val="4"/>
              <c:layout>
                <c:manualLayout>
                  <c:x val="-1.393970845593691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B36-4197-ACE0-F32902234B59}"/>
                </c:ext>
              </c:extLst>
            </c:dLbl>
            <c:dLbl>
              <c:idx val="5"/>
              <c:layout>
                <c:manualLayout>
                  <c:x val="-1.393970845593680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B36-4197-ACE0-F32902234B59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(4)'!$A$37:$A$42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(4)'!$D$37:$D$42</c:f>
              <c:numCache>
                <c:formatCode>General</c:formatCode>
                <c:ptCount val="6"/>
                <c:pt idx="0">
                  <c:v>2.7000000000000003E-2</c:v>
                </c:pt>
                <c:pt idx="1">
                  <c:v>0.55200000000000005</c:v>
                </c:pt>
                <c:pt idx="2">
                  <c:v>2.6000000000000002E-2</c:v>
                </c:pt>
                <c:pt idx="3">
                  <c:v>3.3399999999999999E-2</c:v>
                </c:pt>
                <c:pt idx="4">
                  <c:v>0.02</c:v>
                </c:pt>
                <c:pt idx="5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6-4197-ACE0-F32902234B59}"/>
            </c:ext>
          </c:extLst>
        </c:ser>
        <c:ser>
          <c:idx val="1"/>
          <c:order val="1"/>
          <c:tx>
            <c:v>Максимальное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8.3333333333333332E-3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36-4197-ACE0-F32902234B59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(4)'!$A$37:$A$42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(4)'!$E$37:$E$42</c:f>
              <c:numCache>
                <c:formatCode>General</c:formatCode>
                <c:ptCount val="6"/>
                <c:pt idx="0">
                  <c:v>0.1726</c:v>
                </c:pt>
                <c:pt idx="1">
                  <c:v>1.7100000000000002</c:v>
                </c:pt>
                <c:pt idx="2">
                  <c:v>0.16800000000000001</c:v>
                </c:pt>
                <c:pt idx="3">
                  <c:v>0.22639999999999999</c:v>
                </c:pt>
                <c:pt idx="4">
                  <c:v>0.17980000000000002</c:v>
                </c:pt>
                <c:pt idx="5">
                  <c:v>0.14179999999999998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36-4197-ACE0-F32902234B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66073808"/>
        <c:axId val="966065488"/>
      </c:barChart>
      <c:catAx>
        <c:axId val="966073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6065488"/>
        <c:crosses val="autoZero"/>
        <c:auto val="1"/>
        <c:lblAlgn val="ctr"/>
        <c:lblOffset val="100"/>
        <c:noMultiLvlLbl val="0"/>
      </c:catAx>
      <c:valAx>
        <c:axId val="966065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607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Среднее время выполнения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8776287655022507E-3"/>
                  <c:y val="4.6296296296296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71-48F3-8403-CFC61CC27B62}"/>
                </c:ext>
              </c:extLst>
            </c:dLbl>
            <c:numFmt formatCode="#,##0.0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(4)'!$A$37:$A$42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(4)'!$B$37:$B$42</c:f>
              <c:numCache>
                <c:formatCode>General</c:formatCode>
                <c:ptCount val="6"/>
                <c:pt idx="0" formatCode="0.00000">
                  <c:v>3.1139999999999994E-2</c:v>
                </c:pt>
                <c:pt idx="1">
                  <c:v>0.621726</c:v>
                </c:pt>
                <c:pt idx="2">
                  <c:v>3.0237999999999998E-2</c:v>
                </c:pt>
                <c:pt idx="3">
                  <c:v>4.4041999999999998E-2</c:v>
                </c:pt>
                <c:pt idx="4">
                  <c:v>2.4496E-2</c:v>
                </c:pt>
                <c:pt idx="5">
                  <c:v>1.4638000000000002E-2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1-48F3-8403-CFC61CC27B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42136800"/>
        <c:axId val="2042140960"/>
      </c:barChart>
      <c:catAx>
        <c:axId val="204213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140960"/>
        <c:crosses val="autoZero"/>
        <c:auto val="1"/>
        <c:lblAlgn val="ctr"/>
        <c:lblOffset val="100"/>
        <c:noMultiLvlLbl val="0"/>
      </c:catAx>
      <c:valAx>
        <c:axId val="2042140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13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'!bench (4)'!$G$1</c:f>
              <c:strCache>
                <c:ptCount val="1"/>
                <c:pt idx="0">
                  <c:v>0.1%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(4)'!$G$37:$G$42</c15:sqref>
                  </c15:fullRef>
                </c:ext>
              </c:extLst>
              <c:f>('!bench (4)'!$G$37,'!bench (4)'!$G$39:$G$42)</c:f>
              <c:numCache>
                <c:formatCode>General</c:formatCode>
                <c:ptCount val="5"/>
                <c:pt idx="0">
                  <c:v>2.7000000000000003E-2</c:v>
                </c:pt>
                <c:pt idx="1">
                  <c:v>2.6000000000000002E-2</c:v>
                </c:pt>
                <c:pt idx="2">
                  <c:v>3.4000000000000002E-2</c:v>
                </c:pt>
                <c:pt idx="3">
                  <c:v>0.02</c:v>
                </c:pt>
                <c:pt idx="4">
                  <c:v>1.2199999999999999E-2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1-4D0D-A5CB-A53874ABDC20}"/>
            </c:ext>
          </c:extLst>
        </c:ser>
        <c:ser>
          <c:idx val="2"/>
          <c:order val="2"/>
          <c:tx>
            <c:strRef>
              <c:f>'!bench (4)'!$H$1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(4)'!$H$37:$H$42</c15:sqref>
                  </c15:fullRef>
                </c:ext>
              </c:extLst>
              <c:f>('!bench (4)'!$H$37,'!bench (4)'!$H$39:$H$42)</c:f>
              <c:numCache>
                <c:formatCode>General</c:formatCode>
                <c:ptCount val="5"/>
                <c:pt idx="0">
                  <c:v>2.7000000000000003E-2</c:v>
                </c:pt>
                <c:pt idx="1">
                  <c:v>2.6197999999999999E-2</c:v>
                </c:pt>
                <c:pt idx="2">
                  <c:v>3.4800000000000005E-2</c:v>
                </c:pt>
                <c:pt idx="3">
                  <c:v>2.0200000000000003E-2</c:v>
                </c:pt>
                <c:pt idx="4">
                  <c:v>1.24E-2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41-4D0D-A5CB-A53874ABDC20}"/>
            </c:ext>
          </c:extLst>
        </c:ser>
        <c:ser>
          <c:idx val="3"/>
          <c:order val="3"/>
          <c:tx>
            <c:strRef>
              <c:f>'!bench (4)'!$I$1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2.032930363332775E-3"/>
                  <c:y val="2.950365038912215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841-4D0D-A5CB-A53874ABDC20}"/>
                </c:ext>
              </c:extLst>
            </c:dLbl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(4)'!$I$37:$I$42</c15:sqref>
                  </c15:fullRef>
                </c:ext>
              </c:extLst>
              <c:f>('!bench (4)'!$I$37,'!bench (4)'!$I$39:$I$42)</c:f>
              <c:numCache>
                <c:formatCode>General</c:formatCode>
                <c:ptCount val="5"/>
                <c:pt idx="0">
                  <c:v>2.8000000000000004E-2</c:v>
                </c:pt>
                <c:pt idx="1">
                  <c:v>2.7600000000000003E-2</c:v>
                </c:pt>
                <c:pt idx="2">
                  <c:v>4.1600000000000005E-2</c:v>
                </c:pt>
                <c:pt idx="3">
                  <c:v>2.2799999999999997E-2</c:v>
                </c:pt>
                <c:pt idx="4">
                  <c:v>1.4200000000000001E-2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41-4D0D-A5CB-A53874ABDC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2042145536"/>
        <c:axId val="204214470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'!bench (4)'!$F$1</c15:sqref>
                        </c15:formulaRef>
                      </c:ext>
                    </c:extLst>
                    <c:strCache>
                      <c:ptCount val="1"/>
                      <c:pt idx="0">
                        <c:v>0.01%</c:v>
                      </c:pt>
                    </c:strCache>
                  </c:strRef>
                </c:tx>
                <c:spPr>
                  <a:solidFill>
                    <a:schemeClr val="dk1">
                      <a:tint val="885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#,##0.00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'!bench (4)'!$A$37:$A$42</c15:sqref>
                        </c15:fullRef>
                        <c15:formulaRef>
                          <c15:sqref>('!bench (4)'!$A$37,'!bench (4)'!$A$39:$A$42)</c15:sqref>
                        </c15:formulaRef>
                      </c:ext>
                    </c:extLst>
                    <c:strCache>
                      <c:ptCount val="5"/>
                      <c:pt idx="0">
                        <c:v>Скалярный</c:v>
                      </c:pt>
                      <c:pt idx="1">
                        <c:v>Скалярный опт.</c:v>
                      </c:pt>
                      <c:pt idx="2">
                        <c:v>SSE</c:v>
                      </c:pt>
                      <c:pt idx="3">
                        <c:v>SSE 2</c:v>
                      </c:pt>
                      <c:pt idx="4">
                        <c:v>AVX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'!bench (4)'!$F$37:$F$42</c15:sqref>
                        </c15:fullRef>
                        <c15:formulaRef>
                          <c15:sqref>('!bench (4)'!$F$37,'!bench (4)'!$F$39:$F$42)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2.7000000000000003E-2</c:v>
                      </c:pt>
                      <c:pt idx="1">
                        <c:v>2.6000000000000002E-2</c:v>
                      </c:pt>
                      <c:pt idx="2">
                        <c:v>3.3460000000000004E-2</c:v>
                      </c:pt>
                      <c:pt idx="3">
                        <c:v>0.02</c:v>
                      </c:pt>
                      <c:pt idx="4">
                        <c:v>1.2E-2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841-4D0D-A5CB-A53874ABDC20}"/>
                  </c:ext>
                </c:extLst>
              </c15:ser>
            </c15:filteredBarSeries>
          </c:ext>
        </c:extLst>
      </c:barChart>
      <c:catAx>
        <c:axId val="2042145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144704"/>
        <c:crosses val="autoZero"/>
        <c:auto val="1"/>
        <c:lblAlgn val="ctr"/>
        <c:lblOffset val="100"/>
        <c:noMultiLvlLbl val="0"/>
      </c:catAx>
      <c:valAx>
        <c:axId val="20421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14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'!bench (4)'!$J$1</c:f>
              <c:strCache>
                <c:ptCount val="1"/>
                <c:pt idx="0">
                  <c:v>99%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2643067058897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1D5-481E-A4FE-40BC47291B28}"/>
                </c:ext>
              </c:extLst>
            </c:dLbl>
            <c:dLbl>
              <c:idx val="1"/>
              <c:layout>
                <c:manualLayout>
                  <c:x val="-6.1585840235339109E-3"/>
                  <c:y val="-7.923551994830958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1D5-481E-A4FE-40BC47291B28}"/>
                </c:ext>
              </c:extLst>
            </c:dLbl>
            <c:dLbl>
              <c:idx val="2"/>
              <c:layout>
                <c:manualLayout>
                  <c:x val="-6.158584023533872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1D5-481E-A4FE-40BC47291B28}"/>
                </c:ext>
              </c:extLst>
            </c:dLbl>
            <c:dLbl>
              <c:idx val="3"/>
              <c:layout>
                <c:manualLayout>
                  <c:x val="-6.1585840235338727E-3"/>
                  <c:y val="-7.923551994830958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1D5-481E-A4FE-40BC47291B28}"/>
                </c:ext>
              </c:extLst>
            </c:dLbl>
            <c:dLbl>
              <c:idx val="4"/>
              <c:layout>
                <c:manualLayout>
                  <c:x val="-8.211445364711831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1D5-481E-A4FE-40BC47291B28}"/>
                </c:ext>
              </c:extLst>
            </c:dLbl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(4)'!$J$37:$J$42</c15:sqref>
                  </c15:fullRef>
                </c:ext>
              </c:extLst>
              <c:f>('!bench (4)'!$J$37,'!bench (4)'!$J$39:$J$42)</c:f>
              <c:numCache>
                <c:formatCode>General</c:formatCode>
                <c:ptCount val="5"/>
                <c:pt idx="0">
                  <c:v>5.2201999999999991E-2</c:v>
                </c:pt>
                <c:pt idx="1">
                  <c:v>4.8599999999999997E-2</c:v>
                </c:pt>
                <c:pt idx="2">
                  <c:v>7.9003999999999991E-2</c:v>
                </c:pt>
                <c:pt idx="3">
                  <c:v>4.5204000000000001E-2</c:v>
                </c:pt>
                <c:pt idx="4">
                  <c:v>2.8800000000000003E-2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5-481E-A4FE-40BC47291B28}"/>
            </c:ext>
          </c:extLst>
        </c:ser>
        <c:ser>
          <c:idx val="1"/>
          <c:order val="1"/>
          <c:tx>
            <c:strRef>
              <c:f>'!bench (4)'!$K$1</c:f>
              <c:strCache>
                <c:ptCount val="1"/>
                <c:pt idx="0">
                  <c:v>99.9%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1057226823559339E-3"/>
                  <c:y val="-7.923551994830958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1D5-481E-A4FE-40BC47291B28}"/>
                </c:ext>
              </c:extLst>
            </c:dLbl>
            <c:dLbl>
              <c:idx val="1"/>
              <c:layout>
                <c:manualLayout>
                  <c:x val="-4.105722682355877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1D5-481E-A4FE-40BC47291B28}"/>
                </c:ext>
              </c:extLst>
            </c:dLbl>
            <c:dLbl>
              <c:idx val="2"/>
              <c:layout>
                <c:manualLayout>
                  <c:x val="-8.2114453647118314E-3"/>
                  <c:y val="-3.96177599741547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1D5-481E-A4FE-40BC47291B28}"/>
                </c:ext>
              </c:extLst>
            </c:dLbl>
            <c:dLbl>
              <c:idx val="3"/>
              <c:layout>
                <c:manualLayout>
                  <c:x val="-1.02643067058897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1D5-481E-A4FE-40BC47291B28}"/>
                </c:ext>
              </c:extLst>
            </c:dLbl>
            <c:dLbl>
              <c:idx val="4"/>
              <c:layout>
                <c:manualLayout>
                  <c:x val="-1.02643067058897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1D5-481E-A4FE-40BC47291B28}"/>
                </c:ext>
              </c:extLst>
            </c:dLbl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(4)'!$K$37:$K$42</c15:sqref>
                  </c15:fullRef>
                </c:ext>
              </c:extLst>
              <c:f>('!bench (4)'!$K$37,'!bench (4)'!$K$39:$K$42)</c:f>
              <c:numCache>
                <c:formatCode>General</c:formatCode>
                <c:ptCount val="5"/>
                <c:pt idx="0">
                  <c:v>9.4803999999999999E-2</c:v>
                </c:pt>
                <c:pt idx="1">
                  <c:v>7.0000000000000007E-2</c:v>
                </c:pt>
                <c:pt idx="2">
                  <c:v>0.115012</c:v>
                </c:pt>
                <c:pt idx="3">
                  <c:v>7.0008000000000001E-2</c:v>
                </c:pt>
                <c:pt idx="4">
                  <c:v>4.2999999999999997E-2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5-481E-A4FE-40BC47291B28}"/>
            </c:ext>
          </c:extLst>
        </c:ser>
        <c:ser>
          <c:idx val="2"/>
          <c:order val="2"/>
          <c:tx>
            <c:strRef>
              <c:f>'!bench (4)'!$L$1</c:f>
              <c:strCache>
                <c:ptCount val="1"/>
                <c:pt idx="0">
                  <c:v>99.99%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(4)'!$L$37:$L$42</c15:sqref>
                  </c15:fullRef>
                </c:ext>
              </c:extLst>
              <c:f>('!bench (4)'!$L$37,'!bench (4)'!$L$39:$L$42)</c:f>
              <c:numCache>
                <c:formatCode>General</c:formatCode>
                <c:ptCount val="5"/>
                <c:pt idx="0">
                  <c:v>0.175122</c:v>
                </c:pt>
                <c:pt idx="1">
                  <c:v>0.17499999999999999</c:v>
                </c:pt>
                <c:pt idx="2">
                  <c:v>0.22578000000000001</c:v>
                </c:pt>
                <c:pt idx="3">
                  <c:v>0.1908</c:v>
                </c:pt>
                <c:pt idx="4" formatCode="0.00000">
                  <c:v>0.15198399999999998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5-481E-A4FE-40BC47291B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042146368"/>
        <c:axId val="2042150944"/>
      </c:barChart>
      <c:catAx>
        <c:axId val="2042146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150944"/>
        <c:crosses val="autoZero"/>
        <c:auto val="1"/>
        <c:lblAlgn val="ctr"/>
        <c:lblOffset val="100"/>
        <c:noMultiLvlLbl val="0"/>
      </c:catAx>
      <c:valAx>
        <c:axId val="2042150944"/>
        <c:scaling>
          <c:orientation val="minMax"/>
          <c:max val="0.2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(мс)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14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Коэффициент вариации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(4)'!$A$45:$A$50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(4)'!$B$45:$B$50</c:f>
              <c:numCache>
                <c:formatCode>General</c:formatCode>
                <c:ptCount val="6"/>
                <c:pt idx="0">
                  <c:v>23.506866815713831</c:v>
                </c:pt>
                <c:pt idx="1">
                  <c:v>11.508955485733424</c:v>
                </c:pt>
                <c:pt idx="2">
                  <c:v>19.167217448777262</c:v>
                </c:pt>
                <c:pt idx="3">
                  <c:v>24.095840867992766</c:v>
                </c:pt>
                <c:pt idx="4">
                  <c:v>24.096385542168676</c:v>
                </c:pt>
                <c:pt idx="5">
                  <c:v>20.917678812415655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7A-425E-9D26-2555AD0599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0"/>
        <c:axId val="157790799"/>
        <c:axId val="157788719"/>
      </c:barChart>
      <c:catAx>
        <c:axId val="157790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88719"/>
        <c:crosses val="autoZero"/>
        <c:auto val="1"/>
        <c:lblAlgn val="ctr"/>
        <c:lblOffset val="100"/>
        <c:noMultiLvlLbl val="0"/>
      </c:catAx>
      <c:valAx>
        <c:axId val="15778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Проценты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79079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'!bench (4)'!$D$1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(4)'!$A$37:$A$42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(4)'!$D$37:$D$42</c:f>
              <c:numCache>
                <c:formatCode>General</c:formatCode>
                <c:ptCount val="6"/>
                <c:pt idx="0">
                  <c:v>2.7000000000000003E-2</c:v>
                </c:pt>
                <c:pt idx="1">
                  <c:v>0.55200000000000005</c:v>
                </c:pt>
                <c:pt idx="2">
                  <c:v>2.6000000000000002E-2</c:v>
                </c:pt>
                <c:pt idx="3">
                  <c:v>3.3399999999999999E-2</c:v>
                </c:pt>
                <c:pt idx="4">
                  <c:v>0.02</c:v>
                </c:pt>
                <c:pt idx="5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3-4F58-BD90-D15B6C24879C}"/>
            </c:ext>
          </c:extLst>
        </c:ser>
        <c:ser>
          <c:idx val="0"/>
          <c:order val="1"/>
          <c:tx>
            <c:strRef>
              <c:f>'!bench (4)'!$B$1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(4)'!$A$37:$A$42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(4)'!$B$37:$B$42</c:f>
              <c:numCache>
                <c:formatCode>General</c:formatCode>
                <c:ptCount val="6"/>
                <c:pt idx="0" formatCode="0.00000">
                  <c:v>3.1139999999999994E-2</c:v>
                </c:pt>
                <c:pt idx="1">
                  <c:v>0.621726</c:v>
                </c:pt>
                <c:pt idx="2">
                  <c:v>3.0237999999999998E-2</c:v>
                </c:pt>
                <c:pt idx="3">
                  <c:v>4.4041999999999998E-2</c:v>
                </c:pt>
                <c:pt idx="4">
                  <c:v>2.4496E-2</c:v>
                </c:pt>
                <c:pt idx="5">
                  <c:v>1.4638000000000002E-2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3-4F58-BD90-D15B6C24879C}"/>
            </c:ext>
          </c:extLst>
        </c:ser>
        <c:ser>
          <c:idx val="2"/>
          <c:order val="2"/>
          <c:tx>
            <c:strRef>
              <c:f>'!bench (4)'!$E$1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4.6373262332732091E-17"/>
                  <c:y val="-2.11521633333411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C3-4F58-BD90-D15B6C24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'!bench (4)'!$A$37:$A$42</c:f>
              <c:strCache>
                <c:ptCount val="6"/>
                <c:pt idx="0">
                  <c:v>Скалярный</c:v>
                </c:pt>
                <c:pt idx="1">
                  <c:v>Наивный</c:v>
                </c:pt>
                <c:pt idx="2">
                  <c:v>Скалярный опт.</c:v>
                </c:pt>
                <c:pt idx="3">
                  <c:v>SSE</c:v>
                </c:pt>
                <c:pt idx="4">
                  <c:v>SSE 2</c:v>
                </c:pt>
                <c:pt idx="5">
                  <c:v>AVX</c:v>
                </c:pt>
              </c:strCache>
            </c:strRef>
          </c:cat>
          <c:val>
            <c:numRef>
              <c:f>'!bench (4)'!$E$37:$E$42</c:f>
              <c:numCache>
                <c:formatCode>General</c:formatCode>
                <c:ptCount val="6"/>
                <c:pt idx="0">
                  <c:v>0.1726</c:v>
                </c:pt>
                <c:pt idx="1">
                  <c:v>1.7100000000000002</c:v>
                </c:pt>
                <c:pt idx="2">
                  <c:v>0.16800000000000001</c:v>
                </c:pt>
                <c:pt idx="3">
                  <c:v>0.22639999999999999</c:v>
                </c:pt>
                <c:pt idx="4">
                  <c:v>0.17980000000000002</c:v>
                </c:pt>
                <c:pt idx="5">
                  <c:v>0.14179999999999998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C3-4F58-BD90-D15B6C2487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63370575"/>
        <c:axId val="1763362671"/>
      </c:barChart>
      <c:catAx>
        <c:axId val="176337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3362671"/>
        <c:crosses val="autoZero"/>
        <c:auto val="1"/>
        <c:lblAlgn val="ctr"/>
        <c:lblOffset val="100"/>
        <c:noMultiLvlLbl val="0"/>
      </c:catAx>
      <c:valAx>
        <c:axId val="176336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337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621112791898497"/>
          <c:y val="2.5382596000009326E-2"/>
          <c:w val="0.30299026349412794"/>
          <c:h val="7.1389050907427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'!bench (4)'!$D$1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(4)'!$D$37:$D$42</c15:sqref>
                  </c15:fullRef>
                </c:ext>
              </c:extLst>
              <c:f>('!bench (4)'!$D$37,'!bench (4)'!$D$39:$D$42)</c:f>
              <c:numCache>
                <c:formatCode>General</c:formatCode>
                <c:ptCount val="5"/>
                <c:pt idx="0">
                  <c:v>2.7000000000000003E-2</c:v>
                </c:pt>
                <c:pt idx="1">
                  <c:v>2.6000000000000002E-2</c:v>
                </c:pt>
                <c:pt idx="2">
                  <c:v>3.3399999999999999E-2</c:v>
                </c:pt>
                <c:pt idx="3">
                  <c:v>0.02</c:v>
                </c:pt>
                <c:pt idx="4">
                  <c:v>1.2E-2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0-4572-9788-2F11B7B68765}"/>
            </c:ext>
          </c:extLst>
        </c:ser>
        <c:ser>
          <c:idx val="0"/>
          <c:order val="1"/>
          <c:tx>
            <c:strRef>
              <c:f>'!bench (4)'!$B$1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(4)'!$B$37:$B$42</c15:sqref>
                  </c15:fullRef>
                </c:ext>
              </c:extLst>
              <c:f>('!bench (4)'!$B$37,'!bench (4)'!$B$39:$B$42)</c:f>
              <c:numCache>
                <c:formatCode>General</c:formatCode>
                <c:ptCount val="5"/>
                <c:pt idx="0" formatCode="0.00000">
                  <c:v>3.1139999999999994E-2</c:v>
                </c:pt>
                <c:pt idx="1">
                  <c:v>3.0237999999999998E-2</c:v>
                </c:pt>
                <c:pt idx="2">
                  <c:v>4.4041999999999998E-2</c:v>
                </c:pt>
                <c:pt idx="3">
                  <c:v>2.4496E-2</c:v>
                </c:pt>
                <c:pt idx="4">
                  <c:v>1.4638000000000002E-2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0-4572-9788-2F11B7B68765}"/>
            </c:ext>
          </c:extLst>
        </c:ser>
        <c:ser>
          <c:idx val="2"/>
          <c:order val="2"/>
          <c:tx>
            <c:strRef>
              <c:f>'!bench (4)'!$E$1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(4)'!$A$37:$A$42</c15:sqref>
                  </c15:fullRef>
                </c:ext>
              </c:extLst>
              <c:f>('!bench (4)'!$A$37,'!bench (4)'!$A$39:$A$42)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(4)'!$E$37:$E$42</c15:sqref>
                  </c15:fullRef>
                </c:ext>
              </c:extLst>
              <c:f>('!bench (4)'!$E$37,'!bench (4)'!$E$39:$E$42)</c:f>
              <c:numCache>
                <c:formatCode>General</c:formatCode>
                <c:ptCount val="5"/>
                <c:pt idx="0">
                  <c:v>0.1726</c:v>
                </c:pt>
                <c:pt idx="1">
                  <c:v>0.16800000000000001</c:v>
                </c:pt>
                <c:pt idx="2">
                  <c:v>0.22639999999999999</c:v>
                </c:pt>
                <c:pt idx="3">
                  <c:v>0.17980000000000002</c:v>
                </c:pt>
                <c:pt idx="4">
                  <c:v>0.14179999999999998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'!bench (4)'!$E$38</c15:sqref>
                  <c15:dLbl>
                    <c:idx val="0"/>
                    <c:layout>
                      <c:manualLayout>
                        <c:x val="-4.6373262332732091E-17"/>
                        <c:y val="-2.115216333334110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0085-4A94-A075-0AA98A9DAC9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3-C570-4572-9788-2F11B7B687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63370575"/>
        <c:axId val="1763362671"/>
      </c:barChart>
      <c:catAx>
        <c:axId val="176337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3362671"/>
        <c:crosses val="autoZero"/>
        <c:auto val="1"/>
        <c:lblAlgn val="ctr"/>
        <c:lblOffset val="100"/>
        <c:noMultiLvlLbl val="0"/>
      </c:catAx>
      <c:valAx>
        <c:axId val="176336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337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621112791898497"/>
          <c:y val="4.2304326666682207E-3"/>
          <c:w val="0.30299026349412794"/>
          <c:h val="7.1389050907427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'!bench (4)'!$D$1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(4)'!$D$45:$D$50</c15:sqref>
                  </c15:fullRef>
                </c:ext>
              </c:extLst>
              <c:f>('!bench (4)'!$D$45,'!bench (4)'!$D$47:$D$50)</c:f>
              <c:numCache>
                <c:formatCode>0.000</c:formatCode>
                <c:ptCount val="5"/>
                <c:pt idx="0">
                  <c:v>20.444444444444443</c:v>
                </c:pt>
                <c:pt idx="1">
                  <c:v>21.23076923076923</c:v>
                </c:pt>
                <c:pt idx="2">
                  <c:v>16.526946107784433</c:v>
                </c:pt>
                <c:pt idx="3">
                  <c:v>27.6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A-492A-BDAC-1558DAB5B843}"/>
            </c:ext>
          </c:extLst>
        </c:ser>
        <c:ser>
          <c:idx val="1"/>
          <c:order val="1"/>
          <c:tx>
            <c:strRef>
              <c:f>'!bench (4)'!$E$1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(4)'!$E$45:$E$50</c15:sqref>
                  </c15:fullRef>
                </c:ext>
              </c:extLst>
              <c:f>('!bench (4)'!$E$45,'!bench (4)'!$E$47:$E$50)</c:f>
              <c:numCache>
                <c:formatCode>0.000</c:formatCode>
                <c:ptCount val="5"/>
                <c:pt idx="0">
                  <c:v>9.9073001158748557</c:v>
                </c:pt>
                <c:pt idx="1">
                  <c:v>10.178571428571429</c:v>
                </c:pt>
                <c:pt idx="2">
                  <c:v>7.5530035335689059</c:v>
                </c:pt>
                <c:pt idx="3">
                  <c:v>9.5105672969966637</c:v>
                </c:pt>
                <c:pt idx="4">
                  <c:v>12.05923836389281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AA-492A-BDAC-1558DAB5B843}"/>
            </c:ext>
          </c:extLst>
        </c:ser>
        <c:ser>
          <c:idx val="2"/>
          <c:order val="2"/>
          <c:tx>
            <c:strRef>
              <c:f>'!bench (4)'!$F$1</c:f>
              <c:strCache>
                <c:ptCount val="1"/>
                <c:pt idx="0">
                  <c:v>0.01%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(4)'!$F$45:$F$50</c15:sqref>
                  </c15:fullRef>
                </c:ext>
              </c:extLst>
              <c:f>('!bench (4)'!$F$45,'!bench (4)'!$F$47:$F$50)</c:f>
              <c:numCache>
                <c:formatCode>0.000</c:formatCode>
                <c:ptCount val="5"/>
                <c:pt idx="0">
                  <c:v>20.437037037037037</c:v>
                </c:pt>
                <c:pt idx="1">
                  <c:v>21.223076923076924</c:v>
                </c:pt>
                <c:pt idx="2">
                  <c:v>16.491332934847581</c:v>
                </c:pt>
                <c:pt idx="3">
                  <c:v>27.590000000000003</c:v>
                </c:pt>
                <c:pt idx="4">
                  <c:v>45.983333333333341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AA-492A-BDAC-1558DAB5B843}"/>
            </c:ext>
          </c:extLst>
        </c:ser>
        <c:ser>
          <c:idx val="3"/>
          <c:order val="3"/>
          <c:tx>
            <c:strRef>
              <c:f>'!bench (4)'!$G$1</c:f>
              <c:strCache>
                <c:ptCount val="1"/>
                <c:pt idx="0">
                  <c:v>0.1%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(4)'!$G$45:$G$50</c15:sqref>
                  </c15:fullRef>
                </c:ext>
              </c:extLst>
              <c:f>('!bench (4)'!$G$45,'!bench (4)'!$G$47:$G$50)</c:f>
              <c:numCache>
                <c:formatCode>0.000</c:formatCode>
                <c:ptCount val="5"/>
                <c:pt idx="0">
                  <c:v>20.444444444444443</c:v>
                </c:pt>
                <c:pt idx="1">
                  <c:v>21.23076923076923</c:v>
                </c:pt>
                <c:pt idx="2">
                  <c:v>16.235294117647058</c:v>
                </c:pt>
                <c:pt idx="3">
                  <c:v>27.6</c:v>
                </c:pt>
                <c:pt idx="4">
                  <c:v>45.245901639344268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AA-492A-BDAC-1558DAB5B843}"/>
            </c:ext>
          </c:extLst>
        </c:ser>
        <c:ser>
          <c:idx val="4"/>
          <c:order val="4"/>
          <c:tx>
            <c:strRef>
              <c:f>'!bench (4)'!$H$1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(4)'!$H$45:$H$50</c15:sqref>
                  </c15:fullRef>
                </c:ext>
              </c:extLst>
              <c:f>('!bench (4)'!$H$45,'!bench (4)'!$H$47:$H$50)</c:f>
              <c:numCache>
                <c:formatCode>0.000</c:formatCode>
                <c:ptCount val="5"/>
                <c:pt idx="0">
                  <c:v>20.481481481481481</c:v>
                </c:pt>
                <c:pt idx="1">
                  <c:v>21.108481563478129</c:v>
                </c:pt>
                <c:pt idx="2">
                  <c:v>15.890804597701148</c:v>
                </c:pt>
                <c:pt idx="3">
                  <c:v>27.376237623762375</c:v>
                </c:pt>
                <c:pt idx="4">
                  <c:v>44.596774193548391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AA-492A-BDAC-1558DAB5B843}"/>
            </c:ext>
          </c:extLst>
        </c:ser>
        <c:ser>
          <c:idx val="5"/>
          <c:order val="5"/>
          <c:tx>
            <c:strRef>
              <c:f>'!bench (4)'!$I$1</c:f>
              <c:strCache>
                <c:ptCount val="1"/>
                <c:pt idx="0">
                  <c:v>50%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(4)'!$I$45:$I$50</c15:sqref>
                  </c15:fullRef>
                </c:ext>
              </c:extLst>
              <c:f>('!bench (4)'!$I$45,'!bench (4)'!$I$47:$I$50)</c:f>
              <c:numCache>
                <c:formatCode>0.000</c:formatCode>
                <c:ptCount val="5"/>
                <c:pt idx="0">
                  <c:v>21.646428571428569</c:v>
                </c:pt>
                <c:pt idx="1">
                  <c:v>21.960144927536227</c:v>
                </c:pt>
                <c:pt idx="2">
                  <c:v>14.569711538461537</c:v>
                </c:pt>
                <c:pt idx="3">
                  <c:v>26.583333333333336</c:v>
                </c:pt>
                <c:pt idx="4">
                  <c:v>42.683098591549289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AA-492A-BDAC-1558DAB5B843}"/>
            </c:ext>
          </c:extLst>
        </c:ser>
        <c:ser>
          <c:idx val="6"/>
          <c:order val="6"/>
          <c:tx>
            <c:strRef>
              <c:f>'!bench (4)'!$J$1</c:f>
              <c:strCache>
                <c:ptCount val="1"/>
                <c:pt idx="0">
                  <c:v>99%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(4)'!$J$45:$J$50</c15:sqref>
                  </c15:fullRef>
                </c:ext>
              </c:extLst>
              <c:f>('!bench (4)'!$J$45,'!bench (4)'!$J$47:$J$50)</c:f>
              <c:numCache>
                <c:formatCode>0.000</c:formatCode>
                <c:ptCount val="5"/>
                <c:pt idx="0">
                  <c:v>15.202674227041113</c:v>
                </c:pt>
                <c:pt idx="1">
                  <c:v>16.329423868312759</c:v>
                </c:pt>
                <c:pt idx="2">
                  <c:v>10.045187585438713</c:v>
                </c:pt>
                <c:pt idx="3">
                  <c:v>17.556189717724095</c:v>
                </c:pt>
                <c:pt idx="4">
                  <c:v>27.555902777777778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AA-492A-BDAC-1558DAB5B843}"/>
            </c:ext>
          </c:extLst>
        </c:ser>
        <c:ser>
          <c:idx val="7"/>
          <c:order val="7"/>
          <c:tx>
            <c:strRef>
              <c:f>'!bench (4)'!$K$1</c:f>
              <c:strCache>
                <c:ptCount val="1"/>
                <c:pt idx="0">
                  <c:v>99.9%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(4)'!$K$45:$K$50</c15:sqref>
                  </c15:fullRef>
                </c:ext>
              </c:extLst>
              <c:f>('!bench (4)'!$K$45,'!bench (4)'!$K$47:$K$50)</c:f>
              <c:numCache>
                <c:formatCode>0.000</c:formatCode>
                <c:ptCount val="5"/>
                <c:pt idx="0">
                  <c:v>10.990802075861778</c:v>
                </c:pt>
                <c:pt idx="1">
                  <c:v>14.885314285714283</c:v>
                </c:pt>
                <c:pt idx="2">
                  <c:v>9.0596807289674111</c:v>
                </c:pt>
                <c:pt idx="3">
                  <c:v>14.883613301336988</c:v>
                </c:pt>
                <c:pt idx="4">
                  <c:v>24.231906976744185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AA-492A-BDAC-1558DAB5B843}"/>
            </c:ext>
          </c:extLst>
        </c:ser>
        <c:ser>
          <c:idx val="8"/>
          <c:order val="8"/>
          <c:tx>
            <c:strRef>
              <c:f>'!bench (4)'!$L$1</c:f>
              <c:strCache>
                <c:ptCount val="1"/>
                <c:pt idx="0">
                  <c:v>99.99%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'!bench (4)'!$A$45:$A$50</c15:sqref>
                  </c15:fullRef>
                </c:ext>
              </c:extLst>
              <c:f>('!bench (4)'!$A$45,'!bench (4)'!$A$47:$A$50)</c:f>
              <c:strCache>
                <c:ptCount val="5"/>
                <c:pt idx="0">
                  <c:v>Скалярный</c:v>
                </c:pt>
                <c:pt idx="1">
                  <c:v>Скалярный опт.</c:v>
                </c:pt>
                <c:pt idx="2">
                  <c:v>SSE</c:v>
                </c:pt>
                <c:pt idx="3">
                  <c:v>SSE 2</c:v>
                </c:pt>
                <c:pt idx="4">
                  <c:v>AVX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'!bench (4)'!$L$45:$L$50</c15:sqref>
                  </c15:fullRef>
                </c:ext>
              </c:extLst>
              <c:f>('!bench (4)'!$L$45,'!bench (4)'!$L$47:$L$50)</c:f>
              <c:numCache>
                <c:formatCode>0.000</c:formatCode>
                <c:ptCount val="5"/>
                <c:pt idx="0">
                  <c:v>9.5342675392012417</c:v>
                </c:pt>
                <c:pt idx="1">
                  <c:v>9.540914285714285</c:v>
                </c:pt>
                <c:pt idx="2">
                  <c:v>7.3950748516254752</c:v>
                </c:pt>
                <c:pt idx="3">
                  <c:v>8.7508385744234793</c:v>
                </c:pt>
                <c:pt idx="4">
                  <c:v>10.985761659122014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AA-492A-BDAC-1558DAB5B8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9584399"/>
        <c:axId val="767350911"/>
      </c:barChart>
      <c:catAx>
        <c:axId val="629584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Название</a:t>
                </a:r>
                <a:r>
                  <a:rPr lang="ru-RU" baseline="0"/>
                  <a:t> алгоритма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7350911"/>
        <c:crosses val="autoZero"/>
        <c:auto val="1"/>
        <c:lblAlgn val="ctr"/>
        <c:lblOffset val="100"/>
        <c:noMultiLvlLbl val="0"/>
      </c:catAx>
      <c:valAx>
        <c:axId val="76735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Во сколько раз быстрее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958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'!bench'!$A$38</c:f>
              <c:strCache>
                <c:ptCount val="1"/>
                <c:pt idx="0">
                  <c:v>normal         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('!bench'!$B$38:$C$38,'!bench'!$E$38:$M$38)</c:f>
              <c:numCache>
                <c:formatCode>0.000000</c:formatCode>
                <c:ptCount val="11"/>
                <c:pt idx="0">
                  <c:v>3.5824000000000002E-2</c:v>
                </c:pt>
                <c:pt idx="1">
                  <c:v>0.19941938365341669</c:v>
                </c:pt>
                <c:pt idx="2" formatCode="0.0000">
                  <c:v>3.1E-2</c:v>
                </c:pt>
                <c:pt idx="3" formatCode="General">
                  <c:v>0.31159999999999999</c:v>
                </c:pt>
                <c:pt idx="4" formatCode="0.0000">
                  <c:v>3.1E-2</c:v>
                </c:pt>
                <c:pt idx="5" formatCode="0.0000">
                  <c:v>3.1E-2</c:v>
                </c:pt>
                <c:pt idx="6" formatCode="General">
                  <c:v>3.1399999999999997E-2</c:v>
                </c:pt>
                <c:pt idx="7" formatCode="0.0000">
                  <c:v>3.3000000000000002E-2</c:v>
                </c:pt>
                <c:pt idx="8" formatCode="General">
                  <c:v>5.9199999999999996E-2</c:v>
                </c:pt>
                <c:pt idx="9" formatCode="General">
                  <c:v>0.1336</c:v>
                </c:pt>
                <c:pt idx="10" formatCode="General">
                  <c:v>0.28339999999999999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7-4F68-B741-D6CD7604C024}"/>
            </c:ext>
          </c:extLst>
        </c:ser>
        <c:ser>
          <c:idx val="1"/>
          <c:order val="1"/>
          <c:tx>
            <c:strRef>
              <c:f>'!bench'!$A$39</c:f>
              <c:strCache>
                <c:ptCount val="1"/>
                <c:pt idx="0">
                  <c:v>iter           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('!bench'!$B$39:$C$39,'!bench'!$E$39:$M$39)</c:f>
              <c:numCache>
                <c:formatCode>0.000000</c:formatCode>
                <c:ptCount val="11"/>
                <c:pt idx="0" formatCode="General">
                  <c:v>3.4944000000000003E-2</c:v>
                </c:pt>
                <c:pt idx="1">
                  <c:v>0.20278159340659341</c:v>
                </c:pt>
                <c:pt idx="2" formatCode="0.0000">
                  <c:v>0.03</c:v>
                </c:pt>
                <c:pt idx="3" formatCode="0.0000">
                  <c:v>0.30900000000000005</c:v>
                </c:pt>
                <c:pt idx="4" formatCode="0.0000">
                  <c:v>0.03</c:v>
                </c:pt>
                <c:pt idx="5" formatCode="0.0000">
                  <c:v>0.03</c:v>
                </c:pt>
                <c:pt idx="6" formatCode="General">
                  <c:v>3.0800000000000001E-2</c:v>
                </c:pt>
                <c:pt idx="7" formatCode="0.0000">
                  <c:v>3.2000000000000001E-2</c:v>
                </c:pt>
                <c:pt idx="8" formatCode="General">
                  <c:v>5.8599999999999999E-2</c:v>
                </c:pt>
                <c:pt idx="9" formatCode="General">
                  <c:v>0.1196</c:v>
                </c:pt>
                <c:pt idx="10" formatCode="General">
                  <c:v>0.25340000000000001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7-4F68-B741-D6CD7604C024}"/>
            </c:ext>
          </c:extLst>
        </c:ser>
        <c:ser>
          <c:idx val="2"/>
          <c:order val="2"/>
          <c:tx>
            <c:strRef>
              <c:f>'!bench'!$A$40</c:f>
              <c:strCache>
                <c:ptCount val="1"/>
                <c:pt idx="0">
                  <c:v>sse v1         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('!bench'!$B$40:$C$40,'!bench'!$E$40:$M$40)</c:f>
              <c:numCache>
                <c:formatCode>0.000000</c:formatCode>
                <c:ptCount val="11"/>
                <c:pt idx="0" formatCode="General">
                  <c:v>5.1998000000000003E-2</c:v>
                </c:pt>
                <c:pt idx="1">
                  <c:v>0.25116350628870343</c:v>
                </c:pt>
                <c:pt idx="2" formatCode="0.0000">
                  <c:v>3.9E-2</c:v>
                </c:pt>
                <c:pt idx="3" formatCode="General">
                  <c:v>0.4234</c:v>
                </c:pt>
                <c:pt idx="4" formatCode="0.0000">
                  <c:v>3.9E-2</c:v>
                </c:pt>
                <c:pt idx="5" formatCode="General">
                  <c:v>3.9800000000000002E-2</c:v>
                </c:pt>
                <c:pt idx="6" formatCode="General">
                  <c:v>4.02E-2</c:v>
                </c:pt>
                <c:pt idx="7" formatCode="General">
                  <c:v>4.8399999999999999E-2</c:v>
                </c:pt>
                <c:pt idx="8" formatCode="General">
                  <c:v>9.3199999999999991E-2</c:v>
                </c:pt>
                <c:pt idx="9" formatCode="General">
                  <c:v>0.16819999999999996</c:v>
                </c:pt>
                <c:pt idx="10" formatCode="0.0000">
                  <c:v>0.31500000000000006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97-4F68-B741-D6CD7604C024}"/>
            </c:ext>
          </c:extLst>
        </c:ser>
        <c:ser>
          <c:idx val="3"/>
          <c:order val="3"/>
          <c:tx>
            <c:strRef>
              <c:f>'!bench'!$A$41</c:f>
              <c:strCache>
                <c:ptCount val="1"/>
                <c:pt idx="0">
                  <c:v>sse v2         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('!bench'!$B$41:$C$41,'!bench'!$E$41:$M$41)</c:f>
              <c:numCache>
                <c:formatCode>0.000000</c:formatCode>
                <c:ptCount val="11"/>
                <c:pt idx="0" formatCode="General">
                  <c:v>2.7708E-2</c:v>
                </c:pt>
                <c:pt idx="1">
                  <c:v>0.20932582647610798</c:v>
                </c:pt>
                <c:pt idx="2" formatCode="General">
                  <c:v>2.2399999999999996E-2</c:v>
                </c:pt>
                <c:pt idx="3" formatCode="0.0000">
                  <c:v>0.26799999999999996</c:v>
                </c:pt>
                <c:pt idx="4" formatCode="General">
                  <c:v>2.2799999999999997E-2</c:v>
                </c:pt>
                <c:pt idx="5" formatCode="0.0000">
                  <c:v>2.3E-2</c:v>
                </c:pt>
                <c:pt idx="6" formatCode="General">
                  <c:v>2.3199999999999998E-2</c:v>
                </c:pt>
                <c:pt idx="7" formatCode="0.0000">
                  <c:v>2.6000000000000002E-2</c:v>
                </c:pt>
                <c:pt idx="8" formatCode="General">
                  <c:v>4.8599999999999997E-2</c:v>
                </c:pt>
                <c:pt idx="9" formatCode="General">
                  <c:v>7.1800000000000003E-2</c:v>
                </c:pt>
                <c:pt idx="10" formatCode="0.0000">
                  <c:v>0.19600000000000001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97-4F68-B741-D6CD7604C024}"/>
            </c:ext>
          </c:extLst>
        </c:ser>
        <c:ser>
          <c:idx val="4"/>
          <c:order val="4"/>
          <c:tx>
            <c:strRef>
              <c:f>'!bench'!$A$42</c:f>
              <c:strCache>
                <c:ptCount val="1"/>
                <c:pt idx="0">
                  <c:v>avx h          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('!bench'!$B$42:$C$42,'!bench'!$E$42:$M$42)</c:f>
              <c:numCache>
                <c:formatCode>0.000000</c:formatCode>
                <c:ptCount val="11"/>
                <c:pt idx="0">
                  <c:v>1.9834000000000001E-2</c:v>
                </c:pt>
                <c:pt idx="1">
                  <c:v>0.24422708480387209</c:v>
                </c:pt>
                <c:pt idx="2" formatCode="General">
                  <c:v>1.66E-2</c:v>
                </c:pt>
                <c:pt idx="3" formatCode="General">
                  <c:v>0.30959999999999999</c:v>
                </c:pt>
                <c:pt idx="4" formatCode="General">
                  <c:v>1.6800000000000002E-2</c:v>
                </c:pt>
                <c:pt idx="5" formatCode="0.0000">
                  <c:v>1.7000000000000001E-2</c:v>
                </c:pt>
                <c:pt idx="6" formatCode="0.0000">
                  <c:v>1.7000000000000001E-2</c:v>
                </c:pt>
                <c:pt idx="7" formatCode="General">
                  <c:v>1.84E-2</c:v>
                </c:pt>
                <c:pt idx="8" formatCode="General">
                  <c:v>3.7200000000000004E-2</c:v>
                </c:pt>
                <c:pt idx="9" formatCode="General">
                  <c:v>5.9199999999999996E-2</c:v>
                </c:pt>
                <c:pt idx="10" formatCode="General">
                  <c:v>0.20379999999999998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97-4F68-B741-D6CD7604C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86506112"/>
        <c:axId val="1186507776"/>
      </c:barChart>
      <c:catAx>
        <c:axId val="118650611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507776"/>
        <c:crosses val="autoZero"/>
        <c:auto val="1"/>
        <c:lblAlgn val="ctr"/>
        <c:lblOffset val="100"/>
        <c:noMultiLvlLbl val="0"/>
      </c:catAx>
      <c:valAx>
        <c:axId val="118650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50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Среднее время в миллисекундах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'!bench'!$A$38:$A$42</c:f>
              <c:strCache>
                <c:ptCount val="5"/>
                <c:pt idx="0">
                  <c:v>normal          </c:v>
                </c:pt>
                <c:pt idx="1">
                  <c:v>iter            </c:v>
                </c:pt>
                <c:pt idx="2">
                  <c:v>sse v1          </c:v>
                </c:pt>
                <c:pt idx="3">
                  <c:v>sse v2          </c:v>
                </c:pt>
                <c:pt idx="4">
                  <c:v>avx h           </c:v>
                </c:pt>
              </c:strCache>
            </c:strRef>
          </c:cat>
          <c:val>
            <c:numRef>
              <c:f>'!bench'!$B$38:$B$42</c:f>
              <c:numCache>
                <c:formatCode>General</c:formatCode>
                <c:ptCount val="5"/>
                <c:pt idx="0" formatCode="0.000000">
                  <c:v>3.5824000000000002E-2</c:v>
                </c:pt>
                <c:pt idx="1">
                  <c:v>3.4944000000000003E-2</c:v>
                </c:pt>
                <c:pt idx="2">
                  <c:v>5.1998000000000003E-2</c:v>
                </c:pt>
                <c:pt idx="3">
                  <c:v>2.7708E-2</c:v>
                </c:pt>
                <c:pt idx="4" formatCode="0.000000">
                  <c:v>1.9834000000000001E-2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1-42CF-AB1B-4CD69CFD7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7177184"/>
        <c:axId val="517178432"/>
      </c:barChart>
      <c:catAx>
        <c:axId val="517177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178432"/>
        <c:crosses val="autoZero"/>
        <c:auto val="1"/>
        <c:lblAlgn val="ctr"/>
        <c:lblOffset val="100"/>
        <c:noMultiLvlLbl val="0"/>
      </c:catAx>
      <c:valAx>
        <c:axId val="517178432"/>
        <c:scaling>
          <c:orientation val="minMax"/>
          <c:max val="5.300000000000001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717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Коэффициент вариации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'!bench'!$A$38:$A$42</c:f>
              <c:strCache>
                <c:ptCount val="5"/>
                <c:pt idx="0">
                  <c:v>normal          </c:v>
                </c:pt>
                <c:pt idx="1">
                  <c:v>iter            </c:v>
                </c:pt>
                <c:pt idx="2">
                  <c:v>sse v1          </c:v>
                </c:pt>
                <c:pt idx="3">
                  <c:v>sse v2          </c:v>
                </c:pt>
                <c:pt idx="4">
                  <c:v>avx h           </c:v>
                </c:pt>
              </c:strCache>
            </c:strRef>
          </c:cat>
          <c:val>
            <c:numRef>
              <c:f>'!bench'!$C$38:$C$42</c:f>
              <c:numCache>
                <c:formatCode>0.000000</c:formatCode>
                <c:ptCount val="5"/>
                <c:pt idx="0">
                  <c:v>0.19941938365341669</c:v>
                </c:pt>
                <c:pt idx="1">
                  <c:v>0.20278159340659341</c:v>
                </c:pt>
                <c:pt idx="2">
                  <c:v>0.25116350628870343</c:v>
                </c:pt>
                <c:pt idx="3">
                  <c:v>0.20932582647610798</c:v>
                </c:pt>
                <c:pt idx="4">
                  <c:v>0.24422708480387209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1-47F5-B7A9-A9EBB628C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9871376"/>
        <c:axId val="1119873456"/>
      </c:barChart>
      <c:catAx>
        <c:axId val="111987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9873456"/>
        <c:crosses val="autoZero"/>
        <c:auto val="1"/>
        <c:lblAlgn val="ctr"/>
        <c:lblOffset val="100"/>
        <c:noMultiLvlLbl val="0"/>
      </c:catAx>
      <c:valAx>
        <c:axId val="1119873456"/>
        <c:scaling>
          <c:orientation val="minMax"/>
          <c:max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1987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Максимальное</a:t>
            </a:r>
            <a:r>
              <a:rPr lang="ru-RU" baseline="0"/>
              <a:t> и минимальное время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'!bench'!$D$1</c:f>
              <c:strCache>
                <c:ptCount val="1"/>
                <c:pt idx="0">
                  <c:v>Мин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'!bench'!$A$38:$A$42</c:f>
              <c:strCache>
                <c:ptCount val="5"/>
                <c:pt idx="0">
                  <c:v>normal          </c:v>
                </c:pt>
                <c:pt idx="1">
                  <c:v>iter            </c:v>
                </c:pt>
                <c:pt idx="2">
                  <c:v>sse v1          </c:v>
                </c:pt>
                <c:pt idx="3">
                  <c:v>sse v2          </c:v>
                </c:pt>
                <c:pt idx="4">
                  <c:v>avx h           </c:v>
                </c:pt>
              </c:strCache>
            </c:strRef>
          </c:cat>
          <c:val>
            <c:numRef>
              <c:f>'!bench'!$D$38:$D$42</c:f>
              <c:numCache>
                <c:formatCode>General</c:formatCode>
                <c:ptCount val="5"/>
                <c:pt idx="0">
                  <c:v>7.1440000000000002E-3</c:v>
                </c:pt>
                <c:pt idx="1">
                  <c:v>7.0860000000000003E-3</c:v>
                </c:pt>
                <c:pt idx="2">
                  <c:v>1.3060000000000002E-2</c:v>
                </c:pt>
                <c:pt idx="3">
                  <c:v>5.7999999999999996E-3</c:v>
                </c:pt>
                <c:pt idx="4">
                  <c:v>4.8439999999999993E-3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3-4BF4-9E3E-7EFE9AFE3FA2}"/>
            </c:ext>
          </c:extLst>
        </c:ser>
        <c:ser>
          <c:idx val="1"/>
          <c:order val="1"/>
          <c:tx>
            <c:strRef>
              <c:f>'!bench'!$E$1</c:f>
              <c:strCache>
                <c:ptCount val="1"/>
                <c:pt idx="0">
                  <c:v>Макс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'!bench'!$A$38:$A$42</c:f>
              <c:strCache>
                <c:ptCount val="5"/>
                <c:pt idx="0">
                  <c:v>normal          </c:v>
                </c:pt>
                <c:pt idx="1">
                  <c:v>iter            </c:v>
                </c:pt>
                <c:pt idx="2">
                  <c:v>sse v1          </c:v>
                </c:pt>
                <c:pt idx="3">
                  <c:v>sse v2          </c:v>
                </c:pt>
                <c:pt idx="4">
                  <c:v>avx h           </c:v>
                </c:pt>
              </c:strCache>
            </c:strRef>
          </c:cat>
          <c:val>
            <c:numRef>
              <c:f>'!bench'!$E$38:$E$42</c:f>
              <c:numCache>
                <c:formatCode>0.0000</c:formatCode>
                <c:ptCount val="5"/>
                <c:pt idx="0">
                  <c:v>3.1E-2</c:v>
                </c:pt>
                <c:pt idx="1">
                  <c:v>0.03</c:v>
                </c:pt>
                <c:pt idx="2">
                  <c:v>3.9E-2</c:v>
                </c:pt>
                <c:pt idx="3" formatCode="General">
                  <c:v>2.2399999999999996E-2</c:v>
                </c:pt>
                <c:pt idx="4" formatCode="General">
                  <c:v>1.66E-2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53-4BF4-9E3E-7EFE9AFE3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4348448"/>
        <c:axId val="1124345536"/>
      </c:barChart>
      <c:catAx>
        <c:axId val="1124348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4345536"/>
        <c:crosses val="autoZero"/>
        <c:auto val="1"/>
        <c:lblAlgn val="ctr"/>
        <c:lblOffset val="100"/>
        <c:noMultiLvlLbl val="0"/>
      </c:catAx>
      <c:valAx>
        <c:axId val="1124345536"/>
        <c:scaling>
          <c:orientation val="minMax"/>
          <c:max val="4.0000000000000008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434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Временное распределение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'!bench'!$A$32</c:f>
              <c:strCache>
                <c:ptCount val="1"/>
                <c:pt idx="0">
                  <c:v>normal      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'!bench'!$F$1:$I$1</c:f>
              <c:strCache>
                <c:ptCount val="4"/>
                <c:pt idx="0">
                  <c:v>0.001%</c:v>
                </c:pt>
                <c:pt idx="1">
                  <c:v>0.1%</c:v>
                </c:pt>
                <c:pt idx="2">
                  <c:v>1%</c:v>
                </c:pt>
                <c:pt idx="3">
                  <c:v>50%</c:v>
                </c:pt>
              </c:strCache>
            </c:strRef>
          </c:cat>
          <c:val>
            <c:numRef>
              <c:f>'!bench'!$F$32:$I$32</c:f>
              <c:numCache>
                <c:formatCode>General</c:formatCode>
                <c:ptCount val="4"/>
                <c:pt idx="0">
                  <c:v>3.1E-2</c:v>
                </c:pt>
                <c:pt idx="1">
                  <c:v>3.1E-2</c:v>
                </c:pt>
                <c:pt idx="2">
                  <c:v>3.1399999999999997E-2</c:v>
                </c:pt>
                <c:pt idx="3">
                  <c:v>3.3000000000000002E-2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9-49BE-B343-A149327BB8F7}"/>
            </c:ext>
          </c:extLst>
        </c:ser>
        <c:ser>
          <c:idx val="1"/>
          <c:order val="1"/>
          <c:tx>
            <c:strRef>
              <c:f>'!bench'!$A$33</c:f>
              <c:strCache>
                <c:ptCount val="1"/>
                <c:pt idx="0">
                  <c:v>iter      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'!bench'!$F$1:$I$1</c:f>
              <c:strCache>
                <c:ptCount val="4"/>
                <c:pt idx="0">
                  <c:v>0.001%</c:v>
                </c:pt>
                <c:pt idx="1">
                  <c:v>0.1%</c:v>
                </c:pt>
                <c:pt idx="2">
                  <c:v>1%</c:v>
                </c:pt>
                <c:pt idx="3">
                  <c:v>50%</c:v>
                </c:pt>
              </c:strCache>
            </c:strRef>
          </c:cat>
          <c:val>
            <c:numRef>
              <c:f>'!bench'!$F$33:$I$33</c:f>
              <c:numCache>
                <c:formatCode>General</c:formatCode>
                <c:ptCount val="4"/>
                <c:pt idx="0">
                  <c:v>0.03</c:v>
                </c:pt>
                <c:pt idx="1">
                  <c:v>0.03</c:v>
                </c:pt>
                <c:pt idx="2">
                  <c:v>3.0800000000000001E-2</c:v>
                </c:pt>
                <c:pt idx="3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29-49BE-B343-A149327BB8F7}"/>
            </c:ext>
          </c:extLst>
        </c:ser>
        <c:ser>
          <c:idx val="2"/>
          <c:order val="2"/>
          <c:tx>
            <c:strRef>
              <c:f>'!bench'!$A$34</c:f>
              <c:strCache>
                <c:ptCount val="1"/>
                <c:pt idx="0">
                  <c:v>sse v1      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'!bench'!$F$1:$I$1</c:f>
              <c:strCache>
                <c:ptCount val="4"/>
                <c:pt idx="0">
                  <c:v>0.001%</c:v>
                </c:pt>
                <c:pt idx="1">
                  <c:v>0.1%</c:v>
                </c:pt>
                <c:pt idx="2">
                  <c:v>1%</c:v>
                </c:pt>
                <c:pt idx="3">
                  <c:v>50%</c:v>
                </c:pt>
              </c:strCache>
            </c:strRef>
          </c:cat>
          <c:val>
            <c:numRef>
              <c:f>'!bench'!$F$34:$I$34</c:f>
              <c:numCache>
                <c:formatCode>General</c:formatCode>
                <c:ptCount val="4"/>
                <c:pt idx="0">
                  <c:v>3.9E-2</c:v>
                </c:pt>
                <c:pt idx="1">
                  <c:v>3.9800000000000002E-2</c:v>
                </c:pt>
                <c:pt idx="2">
                  <c:v>4.02E-2</c:v>
                </c:pt>
                <c:pt idx="3">
                  <c:v>4.8399999999999999E-2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29-49BE-B343-A149327BB8F7}"/>
            </c:ext>
          </c:extLst>
        </c:ser>
        <c:ser>
          <c:idx val="3"/>
          <c:order val="3"/>
          <c:tx>
            <c:strRef>
              <c:f>'!bench'!$A$35</c:f>
              <c:strCache>
                <c:ptCount val="1"/>
                <c:pt idx="0">
                  <c:v>sse v2        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'!bench'!$F$1:$I$1</c:f>
              <c:strCache>
                <c:ptCount val="4"/>
                <c:pt idx="0">
                  <c:v>0.001%</c:v>
                </c:pt>
                <c:pt idx="1">
                  <c:v>0.1%</c:v>
                </c:pt>
                <c:pt idx="2">
                  <c:v>1%</c:v>
                </c:pt>
                <c:pt idx="3">
                  <c:v>50%</c:v>
                </c:pt>
              </c:strCache>
            </c:strRef>
          </c:cat>
          <c:val>
            <c:numRef>
              <c:f>'!bench'!$F$35:$I$35</c:f>
              <c:numCache>
                <c:formatCode>General</c:formatCode>
                <c:ptCount val="4"/>
                <c:pt idx="0">
                  <c:v>2.2799999999999997E-2</c:v>
                </c:pt>
                <c:pt idx="1">
                  <c:v>2.3E-2</c:v>
                </c:pt>
                <c:pt idx="2">
                  <c:v>2.3199999999999998E-2</c:v>
                </c:pt>
                <c:pt idx="3">
                  <c:v>2.6000000000000002E-2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29-49BE-B343-A149327BB8F7}"/>
            </c:ext>
          </c:extLst>
        </c:ser>
        <c:ser>
          <c:idx val="4"/>
          <c:order val="4"/>
          <c:tx>
            <c:strRef>
              <c:f>'!bench'!$A$36</c:f>
              <c:strCache>
                <c:ptCount val="1"/>
                <c:pt idx="0">
                  <c:v>avx h         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'!bench'!$F$1:$I$1</c:f>
              <c:strCache>
                <c:ptCount val="4"/>
                <c:pt idx="0">
                  <c:v>0.001%</c:v>
                </c:pt>
                <c:pt idx="1">
                  <c:v>0.1%</c:v>
                </c:pt>
                <c:pt idx="2">
                  <c:v>1%</c:v>
                </c:pt>
                <c:pt idx="3">
                  <c:v>50%</c:v>
                </c:pt>
              </c:strCache>
            </c:strRef>
          </c:cat>
          <c:val>
            <c:numRef>
              <c:f>'!bench'!$F$36:$I$36</c:f>
              <c:numCache>
                <c:formatCode>General</c:formatCode>
                <c:ptCount val="4"/>
                <c:pt idx="0">
                  <c:v>1.6800000000000002E-2</c:v>
                </c:pt>
                <c:pt idx="1">
                  <c:v>1.7000000000000001E-2</c:v>
                </c:pt>
                <c:pt idx="2">
                  <c:v>1.7000000000000001E-2</c:v>
                </c:pt>
                <c:pt idx="3">
                  <c:v>1.84E-2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29-49BE-B343-A149327BB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592800"/>
        <c:axId val="456593216"/>
      </c:barChart>
      <c:catAx>
        <c:axId val="45659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593216"/>
        <c:crosses val="autoZero"/>
        <c:auto val="1"/>
        <c:lblAlgn val="ctr"/>
        <c:lblOffset val="100"/>
        <c:noMultiLvlLbl val="0"/>
      </c:catAx>
      <c:valAx>
        <c:axId val="456593216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59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Временное распределение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'!bench'!$A$32</c:f>
              <c:strCache>
                <c:ptCount val="1"/>
                <c:pt idx="0">
                  <c:v>normal      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'!bench'!$J$1:$L$1</c:f>
              <c:strCache>
                <c:ptCount val="3"/>
                <c:pt idx="0">
                  <c:v>99%</c:v>
                </c:pt>
                <c:pt idx="1">
                  <c:v>99.9%</c:v>
                </c:pt>
                <c:pt idx="2">
                  <c:v>99.999%</c:v>
                </c:pt>
              </c:strCache>
            </c:strRef>
          </c:cat>
          <c:val>
            <c:numRef>
              <c:f>'!bench'!$J$32:$L$32</c:f>
              <c:numCache>
                <c:formatCode>General</c:formatCode>
                <c:ptCount val="3"/>
                <c:pt idx="0">
                  <c:v>5.9199999999999996E-2</c:v>
                </c:pt>
                <c:pt idx="1">
                  <c:v>0.1336</c:v>
                </c:pt>
                <c:pt idx="2">
                  <c:v>0.28339999999999999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A-4C0D-8899-477BDE1DDC44}"/>
            </c:ext>
          </c:extLst>
        </c:ser>
        <c:ser>
          <c:idx val="1"/>
          <c:order val="1"/>
          <c:tx>
            <c:strRef>
              <c:f>'!bench'!$A$33</c:f>
              <c:strCache>
                <c:ptCount val="1"/>
                <c:pt idx="0">
                  <c:v>iter      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'!bench'!$J$1:$L$1</c:f>
              <c:strCache>
                <c:ptCount val="3"/>
                <c:pt idx="0">
                  <c:v>99%</c:v>
                </c:pt>
                <c:pt idx="1">
                  <c:v>99.9%</c:v>
                </c:pt>
                <c:pt idx="2">
                  <c:v>99.999%</c:v>
                </c:pt>
              </c:strCache>
            </c:strRef>
          </c:cat>
          <c:val>
            <c:numRef>
              <c:f>'!bench'!$J$33:$L$33</c:f>
              <c:numCache>
                <c:formatCode>General</c:formatCode>
                <c:ptCount val="3"/>
                <c:pt idx="0">
                  <c:v>5.8599999999999999E-2</c:v>
                </c:pt>
                <c:pt idx="1">
                  <c:v>0.1196</c:v>
                </c:pt>
                <c:pt idx="2">
                  <c:v>0.25340000000000001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A-4C0D-8899-477BDE1DDC44}"/>
            </c:ext>
          </c:extLst>
        </c:ser>
        <c:ser>
          <c:idx val="2"/>
          <c:order val="2"/>
          <c:tx>
            <c:strRef>
              <c:f>'!bench'!$A$34</c:f>
              <c:strCache>
                <c:ptCount val="1"/>
                <c:pt idx="0">
                  <c:v>sse v1      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'!bench'!$J$1:$L$1</c:f>
              <c:strCache>
                <c:ptCount val="3"/>
                <c:pt idx="0">
                  <c:v>99%</c:v>
                </c:pt>
                <c:pt idx="1">
                  <c:v>99.9%</c:v>
                </c:pt>
                <c:pt idx="2">
                  <c:v>99.999%</c:v>
                </c:pt>
              </c:strCache>
            </c:strRef>
          </c:cat>
          <c:val>
            <c:numRef>
              <c:f>'!bench'!$J$34:$L$34</c:f>
              <c:numCache>
                <c:formatCode>General</c:formatCode>
                <c:ptCount val="3"/>
                <c:pt idx="0">
                  <c:v>9.3199999999999991E-2</c:v>
                </c:pt>
                <c:pt idx="1">
                  <c:v>0.16819999999999996</c:v>
                </c:pt>
                <c:pt idx="2">
                  <c:v>0.31500000000000006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5A-4C0D-8899-477BDE1DDC44}"/>
            </c:ext>
          </c:extLst>
        </c:ser>
        <c:ser>
          <c:idx val="3"/>
          <c:order val="3"/>
          <c:tx>
            <c:strRef>
              <c:f>'!bench'!$A$35</c:f>
              <c:strCache>
                <c:ptCount val="1"/>
                <c:pt idx="0">
                  <c:v>sse v2        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'!bench'!$J$1:$L$1</c:f>
              <c:strCache>
                <c:ptCount val="3"/>
                <c:pt idx="0">
                  <c:v>99%</c:v>
                </c:pt>
                <c:pt idx="1">
                  <c:v>99.9%</c:v>
                </c:pt>
                <c:pt idx="2">
                  <c:v>99.999%</c:v>
                </c:pt>
              </c:strCache>
            </c:strRef>
          </c:cat>
          <c:val>
            <c:numRef>
              <c:f>'!bench'!$J$35:$L$35</c:f>
              <c:numCache>
                <c:formatCode>General</c:formatCode>
                <c:ptCount val="3"/>
                <c:pt idx="0">
                  <c:v>4.8599999999999997E-2</c:v>
                </c:pt>
                <c:pt idx="1">
                  <c:v>7.1800000000000003E-2</c:v>
                </c:pt>
                <c:pt idx="2">
                  <c:v>0.19600000000000001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5A-4C0D-8899-477BDE1DDC44}"/>
            </c:ext>
          </c:extLst>
        </c:ser>
        <c:ser>
          <c:idx val="4"/>
          <c:order val="4"/>
          <c:tx>
            <c:strRef>
              <c:f>'!bench'!$A$36</c:f>
              <c:strCache>
                <c:ptCount val="1"/>
                <c:pt idx="0">
                  <c:v>avx h         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'!bench'!$J$1:$L$1</c:f>
              <c:strCache>
                <c:ptCount val="3"/>
                <c:pt idx="0">
                  <c:v>99%</c:v>
                </c:pt>
                <c:pt idx="1">
                  <c:v>99.9%</c:v>
                </c:pt>
                <c:pt idx="2">
                  <c:v>99.999%</c:v>
                </c:pt>
              </c:strCache>
            </c:strRef>
          </c:cat>
          <c:val>
            <c:numRef>
              <c:f>'!bench'!$J$36:$L$36</c:f>
              <c:numCache>
                <c:formatCode>General</c:formatCode>
                <c:ptCount val="3"/>
                <c:pt idx="0">
                  <c:v>3.7200000000000004E-2</c:v>
                </c:pt>
                <c:pt idx="1">
                  <c:v>5.9199999999999996E-2</c:v>
                </c:pt>
                <c:pt idx="2">
                  <c:v>0.20379999999999998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5A-4C0D-8899-477BDE1DD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592800"/>
        <c:axId val="456593216"/>
      </c:barChart>
      <c:catAx>
        <c:axId val="45659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593216"/>
        <c:crosses val="autoZero"/>
        <c:auto val="1"/>
        <c:lblAlgn val="ctr"/>
        <c:lblOffset val="100"/>
        <c:noMultiLvlLbl val="0"/>
      </c:catAx>
      <c:valAx>
        <c:axId val="456593216"/>
        <c:scaling>
          <c:orientation val="minMax"/>
          <c:max val="0.3200000000000000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59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image" Target="../media/image3.png"/><Relationship Id="rId7" Type="http://schemas.openxmlformats.org/officeDocument/2006/relationships/chart" Target="../charts/chart2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27.xml"/><Relationship Id="rId5" Type="http://schemas.openxmlformats.org/officeDocument/2006/relationships/image" Target="../media/image5.png"/><Relationship Id="rId10" Type="http://schemas.openxmlformats.org/officeDocument/2006/relationships/chart" Target="../charts/chart26.xml"/><Relationship Id="rId4" Type="http://schemas.openxmlformats.org/officeDocument/2006/relationships/image" Target="../media/image4.png"/><Relationship Id="rId9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80962</xdr:rowOff>
    </xdr:from>
    <xdr:to>
      <xdr:col>6</xdr:col>
      <xdr:colOff>85725</xdr:colOff>
      <xdr:row>27</xdr:row>
      <xdr:rowOff>157162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E73B74C-5340-473D-B4D3-84BE99F87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71437</xdr:colOff>
      <xdr:row>1</xdr:row>
      <xdr:rowOff>42862</xdr:rowOff>
    </xdr:from>
    <xdr:to>
      <xdr:col>11</xdr:col>
      <xdr:colOff>795337</xdr:colOff>
      <xdr:row>15</xdr:row>
      <xdr:rowOff>119062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182E88B-87D9-4469-B610-EEE7E78E1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42862</xdr:colOff>
      <xdr:row>1</xdr:row>
      <xdr:rowOff>14287</xdr:rowOff>
    </xdr:from>
    <xdr:to>
      <xdr:col>19</xdr:col>
      <xdr:colOff>347662</xdr:colOff>
      <xdr:row>15</xdr:row>
      <xdr:rowOff>90487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8CCB08D-D6F3-4AB5-BF4F-E8142F540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147637</xdr:colOff>
      <xdr:row>15</xdr:row>
      <xdr:rowOff>128587</xdr:rowOff>
    </xdr:from>
    <xdr:to>
      <xdr:col>12</xdr:col>
      <xdr:colOff>61912</xdr:colOff>
      <xdr:row>30</xdr:row>
      <xdr:rowOff>14287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8A3995BC-C240-4219-8DFC-D4459BB75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52387</xdr:colOff>
      <xdr:row>15</xdr:row>
      <xdr:rowOff>128587</xdr:rowOff>
    </xdr:from>
    <xdr:to>
      <xdr:col>19</xdr:col>
      <xdr:colOff>357187</xdr:colOff>
      <xdr:row>30</xdr:row>
      <xdr:rowOff>14287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A2741BB-9B94-4026-B820-603F3400C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523875</xdr:colOff>
      <xdr:row>0</xdr:row>
      <xdr:rowOff>152400</xdr:rowOff>
    </xdr:from>
    <xdr:to>
      <xdr:col>27</xdr:col>
      <xdr:colOff>219075</xdr:colOff>
      <xdr:row>15</xdr:row>
      <xdr:rowOff>38100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8AE8FD5-90D2-4A48-A10A-F3078B465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0</xdr:row>
      <xdr:rowOff>185530</xdr:rowOff>
    </xdr:from>
    <xdr:to>
      <xdr:col>21</xdr:col>
      <xdr:colOff>107675</xdr:colOff>
      <xdr:row>23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1B5AC68-0211-427B-90F9-209D230D1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4140</xdr:colOff>
      <xdr:row>22</xdr:row>
      <xdr:rowOff>185532</xdr:rowOff>
    </xdr:from>
    <xdr:to>
      <xdr:col>19</xdr:col>
      <xdr:colOff>190500</xdr:colOff>
      <xdr:row>39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29D1644-2245-48B0-BDCF-47B79D91F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19879</xdr:rowOff>
    </xdr:from>
    <xdr:to>
      <xdr:col>6</xdr:col>
      <xdr:colOff>0</xdr:colOff>
      <xdr:row>69</xdr:row>
      <xdr:rowOff>96079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2ACC83F-F656-484F-AD87-C1E1225A6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733010</xdr:colOff>
      <xdr:row>54</xdr:row>
      <xdr:rowOff>185531</xdr:rowOff>
    </xdr:from>
    <xdr:to>
      <xdr:col>11</xdr:col>
      <xdr:colOff>803414</xdr:colOff>
      <xdr:row>69</xdr:row>
      <xdr:rowOff>71231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81DA1EC2-34F5-4D8E-85BD-F4E0194DA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91108</xdr:colOff>
      <xdr:row>45</xdr:row>
      <xdr:rowOff>3313</xdr:rowOff>
    </xdr:from>
    <xdr:to>
      <xdr:col>20</xdr:col>
      <xdr:colOff>173934</xdr:colOff>
      <xdr:row>59</xdr:row>
      <xdr:rowOff>79513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BEDEAB8-193E-4BE9-9C00-D87FCE920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86967</xdr:colOff>
      <xdr:row>59</xdr:row>
      <xdr:rowOff>127552</xdr:rowOff>
    </xdr:from>
    <xdr:to>
      <xdr:col>20</xdr:col>
      <xdr:colOff>169793</xdr:colOff>
      <xdr:row>74</xdr:row>
      <xdr:rowOff>13252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73217CF-09C5-4C63-B754-BD3DE0D8C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93021</xdr:colOff>
      <xdr:row>29</xdr:row>
      <xdr:rowOff>9159</xdr:rowOff>
    </xdr:from>
    <xdr:to>
      <xdr:col>9</xdr:col>
      <xdr:colOff>1013982</xdr:colOff>
      <xdr:row>43</xdr:row>
      <xdr:rowOff>85359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0279C9A-B66E-4028-8879-326EA8958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89646</xdr:rowOff>
    </xdr:from>
    <xdr:to>
      <xdr:col>5</xdr:col>
      <xdr:colOff>7327</xdr:colOff>
      <xdr:row>29</xdr:row>
      <xdr:rowOff>165846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9B26164-5A59-4C9D-9779-D3C43B4C2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7327</xdr:colOff>
      <xdr:row>13</xdr:row>
      <xdr:rowOff>181706</xdr:rowOff>
    </xdr:from>
    <xdr:to>
      <xdr:col>8</xdr:col>
      <xdr:colOff>0</xdr:colOff>
      <xdr:row>28</xdr:row>
      <xdr:rowOff>80596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B50AECF5-A7DD-4AAA-BC34-C67166AFE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28</xdr:row>
      <xdr:rowOff>64476</xdr:rowOff>
    </xdr:from>
    <xdr:to>
      <xdr:col>4</xdr:col>
      <xdr:colOff>1157654</xdr:colOff>
      <xdr:row>42</xdr:row>
      <xdr:rowOff>140676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1C0D5C00-CDCF-4665-A5CB-B02E69BCC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1229967</xdr:colOff>
      <xdr:row>13</xdr:row>
      <xdr:rowOff>36443</xdr:rowOff>
    </xdr:from>
    <xdr:to>
      <xdr:col>12</xdr:col>
      <xdr:colOff>1138859</xdr:colOff>
      <xdr:row>27</xdr:row>
      <xdr:rowOff>112643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152ACA0-C695-4667-8BC7-23AFCE412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799271</xdr:colOff>
      <xdr:row>9</xdr:row>
      <xdr:rowOff>28161</xdr:rowOff>
    </xdr:from>
    <xdr:to>
      <xdr:col>8</xdr:col>
      <xdr:colOff>840685</xdr:colOff>
      <xdr:row>23</xdr:row>
      <xdr:rowOff>104361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6EF8622-44F2-40E5-98A6-3704BD689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242887</xdr:colOff>
      <xdr:row>20</xdr:row>
      <xdr:rowOff>4762</xdr:rowOff>
    </xdr:from>
    <xdr:to>
      <xdr:col>8</xdr:col>
      <xdr:colOff>4762</xdr:colOff>
      <xdr:row>34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9B74B1A-E21E-45D4-ABD0-CB873193E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</xdr:colOff>
      <xdr:row>20</xdr:row>
      <xdr:rowOff>4762</xdr:rowOff>
    </xdr:from>
    <xdr:to>
      <xdr:col>11</xdr:col>
      <xdr:colOff>252412</xdr:colOff>
      <xdr:row>34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5D29F5E-BA1F-40EC-9A5F-70479B289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576262</xdr:colOff>
      <xdr:row>34</xdr:row>
      <xdr:rowOff>42862</xdr:rowOff>
    </xdr:from>
    <xdr:to>
      <xdr:col>7</xdr:col>
      <xdr:colOff>23812</xdr:colOff>
      <xdr:row>48</xdr:row>
      <xdr:rowOff>119062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F532BA8-9626-48AA-9639-FCA17AEA6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452437</xdr:colOff>
      <xdr:row>21</xdr:row>
      <xdr:rowOff>14287</xdr:rowOff>
    </xdr:from>
    <xdr:to>
      <xdr:col>13</xdr:col>
      <xdr:colOff>1347787</xdr:colOff>
      <xdr:row>35</xdr:row>
      <xdr:rowOff>90487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2E49553-1779-4C8E-A626-4916D6179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15</xdr:col>
      <xdr:colOff>562489</xdr:colOff>
      <xdr:row>11</xdr:row>
      <xdr:rowOff>47738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5515D7B-6502-49F8-B080-F3597E164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40150" y="1333500"/>
          <a:ext cx="3686689" cy="8097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28575</xdr:rowOff>
    </xdr:from>
    <xdr:to>
      <xdr:col>4</xdr:col>
      <xdr:colOff>219604</xdr:colOff>
      <xdr:row>9</xdr:row>
      <xdr:rowOff>161997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F776891-480A-4847-A708-45475DE1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2075"/>
          <a:ext cx="3791479" cy="51442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9525</xdr:rowOff>
    </xdr:from>
    <xdr:to>
      <xdr:col>7</xdr:col>
      <xdr:colOff>152930</xdr:colOff>
      <xdr:row>9</xdr:row>
      <xdr:rowOff>95315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36E53A7-9227-4E82-87E9-D762BC25E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2325" y="1343025"/>
          <a:ext cx="3801005" cy="46679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7</xdr:col>
      <xdr:colOff>705339</xdr:colOff>
      <xdr:row>14</xdr:row>
      <xdr:rowOff>66791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F39D31F-1A90-4E24-9931-5ABA84F0D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71950" y="1905000"/>
          <a:ext cx="3505689" cy="82879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9</xdr:col>
      <xdr:colOff>752971</xdr:colOff>
      <xdr:row>10</xdr:row>
      <xdr:rowOff>80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8F65C02-FADC-4676-9EBA-36021C54A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1333500"/>
          <a:ext cx="3553321" cy="571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12</xdr:col>
      <xdr:colOff>295837</xdr:colOff>
      <xdr:row>11</xdr:row>
      <xdr:rowOff>66791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E8FE752-549E-45A3-9620-5EAB1ACD4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96500" y="1333500"/>
          <a:ext cx="4029637" cy="8287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</xdr:row>
      <xdr:rowOff>97112</xdr:rowOff>
    </xdr:from>
    <xdr:to>
      <xdr:col>5</xdr:col>
      <xdr:colOff>19050</xdr:colOff>
      <xdr:row>89</xdr:row>
      <xdr:rowOff>82825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6BEA021-3C07-4CB4-B7F9-FC0451737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99391</xdr:colOff>
      <xdr:row>74</xdr:row>
      <xdr:rowOff>115956</xdr:rowOff>
    </xdr:from>
    <xdr:to>
      <xdr:col>9</xdr:col>
      <xdr:colOff>880441</xdr:colOff>
      <xdr:row>89</xdr:row>
      <xdr:rowOff>101669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F2EECD1C-CD37-453E-A83C-77D65B4C7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89</xdr:row>
      <xdr:rowOff>94422</xdr:rowOff>
    </xdr:from>
    <xdr:to>
      <xdr:col>5</xdr:col>
      <xdr:colOff>8283</xdr:colOff>
      <xdr:row>105</xdr:row>
      <xdr:rowOff>124240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1D694A0E-3312-4EED-8106-388B13A0C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252620</xdr:colOff>
      <xdr:row>90</xdr:row>
      <xdr:rowOff>177247</xdr:rowOff>
    </xdr:from>
    <xdr:to>
      <xdr:col>10</xdr:col>
      <xdr:colOff>144946</xdr:colOff>
      <xdr:row>105</xdr:row>
      <xdr:rowOff>62947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102341B9-9DD1-4B65-BFDA-833EAF9EF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153228</xdr:colOff>
      <xdr:row>90</xdr:row>
      <xdr:rowOff>135835</xdr:rowOff>
    </xdr:from>
    <xdr:to>
      <xdr:col>16</xdr:col>
      <xdr:colOff>45554</xdr:colOff>
      <xdr:row>105</xdr:row>
      <xdr:rowOff>21535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FCA60812-F9E5-4E55-97DE-D3D2C32D8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100012</xdr:colOff>
      <xdr:row>0</xdr:row>
      <xdr:rowOff>52387</xdr:rowOff>
    </xdr:from>
    <xdr:to>
      <xdr:col>19</xdr:col>
      <xdr:colOff>404812</xdr:colOff>
      <xdr:row>14</xdr:row>
      <xdr:rowOff>128587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0DF495F-7579-48D0-B765-303E4A4C4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128587</xdr:colOff>
      <xdr:row>15</xdr:row>
      <xdr:rowOff>52387</xdr:rowOff>
    </xdr:from>
    <xdr:to>
      <xdr:col>19</xdr:col>
      <xdr:colOff>433387</xdr:colOff>
      <xdr:row>29</xdr:row>
      <xdr:rowOff>128587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D8689CD-AA23-43AF-9426-5CBB60BFB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42862</xdr:colOff>
      <xdr:row>29</xdr:row>
      <xdr:rowOff>166686</xdr:rowOff>
    </xdr:from>
    <xdr:to>
      <xdr:col>22</xdr:col>
      <xdr:colOff>266700</xdr:colOff>
      <xdr:row>53</xdr:row>
      <xdr:rowOff>66675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34F051D-B56A-413D-8DE8-BF3E4B782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704850</xdr:colOff>
      <xdr:row>50</xdr:row>
      <xdr:rowOff>33336</xdr:rowOff>
    </xdr:from>
    <xdr:to>
      <xdr:col>12</xdr:col>
      <xdr:colOff>4762</xdr:colOff>
      <xdr:row>65</xdr:row>
      <xdr:rowOff>114299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0087F3A-E375-4B70-BEE2-0804FE1D4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65</xdr:row>
      <xdr:rowOff>42862</xdr:rowOff>
    </xdr:from>
    <xdr:to>
      <xdr:col>6</xdr:col>
      <xdr:colOff>85725</xdr:colOff>
      <xdr:row>79</xdr:row>
      <xdr:rowOff>119062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42DD5B0-354D-467F-8BB0-5155375A6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70036</xdr:colOff>
      <xdr:row>65</xdr:row>
      <xdr:rowOff>50985</xdr:rowOff>
    </xdr:from>
    <xdr:to>
      <xdr:col>12</xdr:col>
      <xdr:colOff>433106</xdr:colOff>
      <xdr:row>81</xdr:row>
      <xdr:rowOff>5042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E3AFC51-83E5-48E3-93DA-05396D21C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476250</xdr:colOff>
      <xdr:row>65</xdr:row>
      <xdr:rowOff>28575</xdr:rowOff>
    </xdr:from>
    <xdr:to>
      <xdr:col>21</xdr:col>
      <xdr:colOff>10645</xdr:colOff>
      <xdr:row>80</xdr:row>
      <xdr:rowOff>173132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5C2D985C-CA89-47C1-B50C-3F835B65F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402742</xdr:colOff>
      <xdr:row>80</xdr:row>
      <xdr:rowOff>185291</xdr:rowOff>
    </xdr:from>
    <xdr:to>
      <xdr:col>11</xdr:col>
      <xdr:colOff>381000</xdr:colOff>
      <xdr:row>99</xdr:row>
      <xdr:rowOff>168519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42A6FD62-FE22-47D5-8703-CE8107FC2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43</xdr:row>
      <xdr:rowOff>4762</xdr:rowOff>
    </xdr:from>
    <xdr:to>
      <xdr:col>11</xdr:col>
      <xdr:colOff>9525</xdr:colOff>
      <xdr:row>69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53E9610-5CBE-427B-B1A0-33186F4DB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585787</xdr:colOff>
      <xdr:row>44</xdr:row>
      <xdr:rowOff>14287</xdr:rowOff>
    </xdr:from>
    <xdr:to>
      <xdr:col>24</xdr:col>
      <xdr:colOff>280987</xdr:colOff>
      <xdr:row>58</xdr:row>
      <xdr:rowOff>90487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6E96EF1-D59E-4AB0-965B-42A6E02FE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804862</xdr:colOff>
      <xdr:row>57</xdr:row>
      <xdr:rowOff>176212</xdr:rowOff>
    </xdr:from>
    <xdr:to>
      <xdr:col>19</xdr:col>
      <xdr:colOff>300037</xdr:colOff>
      <xdr:row>72</xdr:row>
      <xdr:rowOff>61912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D2020F7-0C28-4BFB-AB95-C25EF6359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14287</xdr:colOff>
      <xdr:row>29</xdr:row>
      <xdr:rowOff>14287</xdr:rowOff>
    </xdr:from>
    <xdr:to>
      <xdr:col>24</xdr:col>
      <xdr:colOff>319087</xdr:colOff>
      <xdr:row>43</xdr:row>
      <xdr:rowOff>90487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32652EA-DA7D-4334-B1F4-DAA3365FF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4762</xdr:colOff>
      <xdr:row>0</xdr:row>
      <xdr:rowOff>23812</xdr:rowOff>
    </xdr:from>
    <xdr:to>
      <xdr:col>24</xdr:col>
      <xdr:colOff>309562</xdr:colOff>
      <xdr:row>14</xdr:row>
      <xdr:rowOff>100012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C31EB85-FD1A-482F-A95E-D2E777E9A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28575</xdr:colOff>
      <xdr:row>14</xdr:row>
      <xdr:rowOff>85725</xdr:rowOff>
    </xdr:from>
    <xdr:to>
      <xdr:col>24</xdr:col>
      <xdr:colOff>333375</xdr:colOff>
      <xdr:row>28</xdr:row>
      <xdr:rowOff>161925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FD5F1C5F-DC20-4902-A94B-B562A5E66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B51F166B-B570-4228-B522-A26E30BCC842}" autoFormatId="16" applyNumberFormats="0" applyBorderFormats="0" applyFontFormats="0" applyPatternFormats="0" applyAlignmentFormats="0" applyWidthHeightFormats="0">
  <queryTableRefresh nextId="15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  <queryTableDeletedFields count="1">
      <deletedField name="Column14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C05F4E3-980E-4640-9364-326E70A1C9C1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AF60021-A16C-4F5D-AB42-ADD973576157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92F27C8-86DB-47F5-B86A-00E19C231523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2E3DCE-7921-4BD8-A857-0D7B41B67182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2440EB-2471-407C-B09F-0E416CBF50B7}" name="bench__6" displayName="bench__6" ref="A1:M31" tableType="queryTable" totalsRowShown="0">
  <autoFilter ref="A1:M31" xr:uid="{322440EB-2471-407C-B09F-0E416CBF50B7}"/>
  <tableColumns count="13">
    <tableColumn id="1" xr3:uid="{CBE41243-82CF-4CB0-A62D-686036C8F13A}" uniqueName="1" name="Название" queryTableFieldId="1" dataDxfId="63"/>
    <tableColumn id="2" xr3:uid="{7F838692-2BED-4C15-A243-F137A9195D73}" uniqueName="2" name="Среднее" queryTableFieldId="2" dataDxfId="62"/>
    <tableColumn id="3" xr3:uid="{945F8D94-EBC8-4A28-9FE7-1A15D0733A7E}" uniqueName="3" name="СтОткл" queryTableFieldId="3" dataDxfId="61"/>
    <tableColumn id="4" xr3:uid="{D20F7DB5-F2BF-4869-91B4-E37BCF8CA0D5}" uniqueName="4" name="Мин" queryTableFieldId="4" dataDxfId="60"/>
    <tableColumn id="5" xr3:uid="{3AD4D312-F752-45E8-9F61-A1FEF7E37092}" uniqueName="5" name="Макс" queryTableFieldId="5" dataDxfId="59"/>
    <tableColumn id="6" xr3:uid="{FB478D9E-89DD-4FB2-AEBC-F5CC571FA4CA}" uniqueName="6" name="0.01%" queryTableFieldId="6" dataDxfId="58"/>
    <tableColumn id="7" xr3:uid="{AC7D5AE5-496D-43D9-B328-631FEC67F862}" uniqueName="7" name="0.1%" queryTableFieldId="7" dataDxfId="57"/>
    <tableColumn id="8" xr3:uid="{566E6B28-AC7E-4375-8419-84735A0FA273}" uniqueName="8" name="1%" queryTableFieldId="8" dataDxfId="56"/>
    <tableColumn id="9" xr3:uid="{17E81BF9-6591-416D-B2ED-A3F037D56A96}" uniqueName="9" name="50%" queryTableFieldId="9" dataDxfId="55"/>
    <tableColumn id="10" xr3:uid="{09C37E21-3DF5-4A2B-AEDC-A491A8453CE5}" uniqueName="10" name="99%" queryTableFieldId="10" dataDxfId="54"/>
    <tableColumn id="11" xr3:uid="{E3D355BD-2F10-4277-82DC-7ED21C109AB7}" uniqueName="11" name="99.9%" queryTableFieldId="11" dataDxfId="53"/>
    <tableColumn id="12" xr3:uid="{B95381A7-92D7-4109-A654-9E3507D348E1}" uniqueName="12" name="99.99%" queryTableFieldId="12" dataDxfId="52"/>
    <tableColumn id="13" xr3:uid="{16DD2CD4-A6D9-4EED-AF99-27A7669728B4}" uniqueName="13" name="Коэф.Вариации" queryTableFieldId="13" dataDxf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DC3B19-34C2-43E7-83B1-9E8D10312088}" name="bench__8" displayName="bench__8" ref="A17:N53" tableType="queryTable" totalsRowShown="0">
  <autoFilter ref="A17:N53" xr:uid="{ABDC3B19-34C2-43E7-83B1-9E8D10312088}"/>
  <tableColumns count="14">
    <tableColumn id="1" xr3:uid="{1534D4DF-DD81-4602-B8C0-07E37C08BA20}" uniqueName="1" name="Столбец1" queryTableFieldId="1" dataDxfId="50"/>
    <tableColumn id="2" xr3:uid="{095552DA-6CB4-4CBC-A398-345C973E4CFF}" uniqueName="2" name="СрВр" queryTableFieldId="2" dataDxfId="49"/>
    <tableColumn id="3" xr3:uid="{70F2ED50-AC31-4EB2-922E-21600CB1FC5D}" uniqueName="3" name="СтОткл" queryTableFieldId="3" dataDxfId="48"/>
    <tableColumn id="4" xr3:uid="{0112A2EE-1CB8-4463-AB0E-AA097F977C75}" uniqueName="4" name="Мин" queryTableFieldId="4" dataDxfId="47"/>
    <tableColumn id="5" xr3:uid="{EA81DAA7-A3E3-428D-9DEA-A4A4B1D43508}" uniqueName="5" name="Макс" queryTableFieldId="5" dataDxfId="46"/>
    <tableColumn id="6" xr3:uid="{13A459AB-77DB-46D7-9AE2-3D45A7BA4DF7}" uniqueName="6" name="0,01%" queryTableFieldId="6" dataDxfId="45"/>
    <tableColumn id="7" xr3:uid="{FF4E52BF-8C3A-4983-AFA5-D54C3A4593A0}" uniqueName="7" name="0,1%" queryTableFieldId="7" dataDxfId="44"/>
    <tableColumn id="8" xr3:uid="{33206628-DACB-4D87-8179-937EED258522}" uniqueName="8" name="1%" queryTableFieldId="8" dataDxfId="43"/>
    <tableColumn id="9" xr3:uid="{002D2C34-53E7-4A69-9674-17768068DCD1}" uniqueName="9" name="50%" queryTableFieldId="9" dataDxfId="42"/>
    <tableColumn id="10" xr3:uid="{2A4C6EC4-C7AB-4E09-ACCA-4AC32DBFCE5D}" uniqueName="10" name="99%" queryTableFieldId="10" dataDxfId="41"/>
    <tableColumn id="11" xr3:uid="{2A9B1732-0A88-41B1-96D3-DFE3CF57C441}" uniqueName="11" name="99,9%" queryTableFieldId="11" dataDxfId="40"/>
    <tableColumn id="12" xr3:uid="{3769FFBD-09C8-4453-B8AB-AD15D820E50E}" uniqueName="12" name="99,99%" queryTableFieldId="12" dataDxfId="39"/>
    <tableColumn id="13" xr3:uid="{8C384E92-10DC-4942-BD9D-C2819D6B55A8}" uniqueName="13" name="Коэф.вар" queryTableFieldId="13" dataDxfId="38"/>
    <tableColumn id="14" xr3:uid="{E62C3F77-5AE2-4053-A50F-442ED626DC61}" uniqueName="14" name="Столбец14" queryTableFieldId="14" dataDxfId="3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41F17D-05C2-4A76-8324-93867D083F32}" name="bench__4" displayName="bench__4" ref="A1:L35" tableType="queryTable" totalsRowShown="0">
  <autoFilter ref="A1:L35" xr:uid="{0541F17D-05C2-4A76-8324-93867D083F32}"/>
  <tableColumns count="12">
    <tableColumn id="1" xr3:uid="{61943C34-6EFB-4BCA-888A-89C0A3AD588E}" uniqueName="1" name="name" queryTableFieldId="1" dataDxfId="36"/>
    <tableColumn id="2" xr3:uid="{F325066E-BC6A-4EB6-9D94-50CFA9455FE6}" uniqueName="2" name="Среднее" queryTableFieldId="2" dataDxfId="35"/>
    <tableColumn id="3" xr3:uid="{EE0C8C77-9C3B-415E-8F36-E1AB9CDF02E4}" uniqueName="3" name="Ср.Отклонение" queryTableFieldId="3" dataDxfId="34"/>
    <tableColumn id="4" xr3:uid="{C3ECA0BB-F633-41BF-A9F0-8BEF86AC205A}" uniqueName="4" name="Мин" queryTableFieldId="4" dataDxfId="33"/>
    <tableColumn id="5" xr3:uid="{33B62EAD-2CD7-44E7-837A-C3D3BFF573E9}" uniqueName="5" name="Макс" queryTableFieldId="5" dataDxfId="32"/>
    <tableColumn id="6" xr3:uid="{04F3ED80-18CC-4E43-BB78-3B1A07CBCFF7}" uniqueName="6" name="0.01%" queryTableFieldId="6" dataDxfId="31"/>
    <tableColumn id="7" xr3:uid="{64CB85BC-D387-4E7A-9D0A-D78E1A0F7B33}" uniqueName="7" name="0.1%" queryTableFieldId="7" dataDxfId="30"/>
    <tableColumn id="8" xr3:uid="{B98AE064-4378-4EFB-98C9-5632601C983D}" uniqueName="8" name="1%" queryTableFieldId="8" dataDxfId="29"/>
    <tableColumn id="9" xr3:uid="{FCE1E06F-8041-4356-AAF5-30FA8C208829}" uniqueName="9" name="50%" queryTableFieldId="9" dataDxfId="28"/>
    <tableColumn id="10" xr3:uid="{E6C4EC49-BE92-450C-96C2-810F2F5D6E46}" uniqueName="10" name="99%" queryTableFieldId="10" dataDxfId="27"/>
    <tableColumn id="11" xr3:uid="{DE25D263-BBAB-4FFA-B0BB-9948CC65838D}" uniqueName="11" name="99.9%" queryTableFieldId="11" dataDxfId="26"/>
    <tableColumn id="12" xr3:uid="{6AADA61C-6759-4DB2-B9EA-FE21119E467C}" uniqueName="12" name="99.99%" queryTableFieldId="12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6A69C6-70E6-456B-BD2E-93F78213020D}" name="bench__3" displayName="bench__3" ref="A1:L35" tableType="queryTable" totalsRowShown="0" headerRowDxfId="24">
  <autoFilter ref="A1:L35" xr:uid="{EA6A69C6-70E6-456B-BD2E-93F78213020D}"/>
  <tableColumns count="12">
    <tableColumn id="1" xr3:uid="{528A0E9A-8905-4694-95A7-AEFE9DE57EE9}" uniqueName="1" name="Algorithm       " queryTableFieldId="1" dataDxfId="23"/>
    <tableColumn id="2" xr3:uid="{687BCE85-0B3B-433E-8E41-D1E342DB6523}" uniqueName="2" name="        Avg " queryTableFieldId="2" dataDxfId="22"/>
    <tableColumn id="3" xr3:uid="{0C5CFAC3-9D81-4CDD-A138-6D24C07DD630}" uniqueName="3" name="     StdDev " queryTableFieldId="3" dataDxfId="21"/>
    <tableColumn id="4" xr3:uid="{C9D40B0F-8566-454C-A509-537A31E456B7}" uniqueName="4" name="        Min " queryTableFieldId="4" dataDxfId="20"/>
    <tableColumn id="5" xr3:uid="{7DB63788-72EA-461A-98B6-1FFBD64C63C7}" uniqueName="5" name="        Max " queryTableFieldId="5" dataDxfId="19"/>
    <tableColumn id="6" xr3:uid="{CAF6E545-2E9E-4353-AE1A-D8AB5EDD3625}" uniqueName="6" name="    p0.001% " queryTableFieldId="6" dataDxfId="18"/>
    <tableColumn id="7" xr3:uid="{51E7AF4C-0812-43DD-A18A-622C39FF1FB3}" uniqueName="7" name="      p0.1% " queryTableFieldId="7" dataDxfId="17"/>
    <tableColumn id="8" xr3:uid="{3FF1168A-1EA2-442C-8D1F-70E4555E1A6B}" uniqueName="8" name="        p1% " queryTableFieldId="8" dataDxfId="16"/>
    <tableColumn id="9" xr3:uid="{E615164D-51EA-4B5A-B548-CB0C256DFEAF}" uniqueName="9" name="       p50% " queryTableFieldId="9" dataDxfId="15"/>
    <tableColumn id="10" xr3:uid="{B12093D0-E25F-44AC-A483-6494F9104F4D}" uniqueName="10" name="       p99% " queryTableFieldId="10" dataDxfId="14"/>
    <tableColumn id="11" xr3:uid="{FDD51BAD-4E1A-4102-A5F1-FB5AC62B0BF4}" uniqueName="11" name="     p99.9% " queryTableFieldId="11" dataDxfId="13"/>
    <tableColumn id="12" xr3:uid="{8FE203E8-E5F2-4D66-A9C5-22EB0CA02117}" uniqueName="12" name="   p99.999%" queryTableFieldId="12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CAE21-E4D9-49DE-BBCE-C12DFA3FDDCA}" name="bench" displayName="bench" ref="A1:L30" tableType="queryTable" totalsRowShown="0">
  <autoFilter ref="A1:L30" xr:uid="{045CAE21-E4D9-49DE-BBCE-C12DFA3FDDCA}"/>
  <tableColumns count="12">
    <tableColumn id="1" xr3:uid="{0F36093B-02CC-462A-A40D-08DF9B226316}" uniqueName="1" name="Название" queryTableFieldId="1" dataDxfId="11"/>
    <tableColumn id="2" xr3:uid="{082B2C1D-D0B9-4100-933F-C9C88017AD51}" uniqueName="2" name="Среднее время" queryTableFieldId="2" dataDxfId="10"/>
    <tableColumn id="3" xr3:uid="{CF09B150-4429-45B0-8047-93E3B1D3E12A}" uniqueName="3" name="Отклонение" queryTableFieldId="3" dataDxfId="9"/>
    <tableColumn id="4" xr3:uid="{7EBE48DE-EF61-432D-9065-16B4D2DA4708}" uniqueName="4" name="Мин" queryTableFieldId="4" dataDxfId="8"/>
    <tableColumn id="5" xr3:uid="{7DA36E49-406A-4751-8424-ED392CF5F40D}" uniqueName="5" name="Макс" queryTableFieldId="5" dataDxfId="7"/>
    <tableColumn id="6" xr3:uid="{D544150B-FC18-401D-9EC2-0E5BF5890B81}" uniqueName="6" name="0.001%" queryTableFieldId="6" dataDxfId="6"/>
    <tableColumn id="7" xr3:uid="{3B88069A-7730-4CB5-BA24-25FFF3B0D88C}" uniqueName="7" name="0.1%" queryTableFieldId="7" dataDxfId="5"/>
    <tableColumn id="8" xr3:uid="{3A85081F-7758-4D9A-A562-D9C32CE11A6D}" uniqueName="8" name="1%" queryTableFieldId="8" dataDxfId="4"/>
    <tableColumn id="9" xr3:uid="{685F835B-F793-44E4-B4F2-8B5C33C83319}" uniqueName="9" name="50%" queryTableFieldId="9" dataDxfId="3"/>
    <tableColumn id="10" xr3:uid="{96F4E968-2575-4D2F-962C-867A284B65E4}" uniqueName="10" name="99%" queryTableFieldId="10" dataDxfId="2"/>
    <tableColumn id="11" xr3:uid="{4E023C2C-1010-4059-8CAE-CB6D547CDB2F}" uniqueName="11" name="99.9%" queryTableFieldId="11" dataDxfId="1"/>
    <tableColumn id="12" xr3:uid="{65826AF4-AAC3-4B5A-A685-F79290F78C6B}" uniqueName="12" name="99.999%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56F6-27DC-4090-91F6-E59E79DD4CC1}">
  <dimension ref="A1:F7"/>
  <sheetViews>
    <sheetView zoomScaleNormal="100" workbookViewId="0">
      <selection activeCell="A2" sqref="A2:A7"/>
    </sheetView>
  </sheetViews>
  <sheetFormatPr defaultRowHeight="15" x14ac:dyDescent="0.25"/>
  <cols>
    <col min="1" max="1" width="11.5703125" bestFit="1" customWidth="1"/>
    <col min="2" max="4" width="11.140625" bestFit="1" customWidth="1"/>
    <col min="5" max="5" width="14.85546875" customWidth="1"/>
    <col min="6" max="9" width="11.140625" bestFit="1" customWidth="1"/>
    <col min="10" max="12" width="12.140625" bestFit="1" customWidth="1"/>
  </cols>
  <sheetData>
    <row r="1" spans="1:6" x14ac:dyDescent="0.25">
      <c r="B1" t="s">
        <v>34</v>
      </c>
      <c r="C1" t="s">
        <v>35</v>
      </c>
      <c r="D1" t="s">
        <v>36</v>
      </c>
      <c r="E1" t="s">
        <v>38</v>
      </c>
      <c r="F1" t="s">
        <v>37</v>
      </c>
    </row>
    <row r="2" spans="1:6" x14ac:dyDescent="0.25">
      <c r="A2" s="7" t="s">
        <v>46</v>
      </c>
      <c r="B2" s="6">
        <v>3.331</v>
      </c>
      <c r="C2" s="6">
        <v>0.3</v>
      </c>
      <c r="D2" s="9">
        <v>2753</v>
      </c>
      <c r="E2" s="9">
        <v>31650</v>
      </c>
      <c r="F2" s="9">
        <v>2668</v>
      </c>
    </row>
    <row r="3" spans="1:6" x14ac:dyDescent="0.25">
      <c r="A3" s="8" t="s">
        <v>45</v>
      </c>
      <c r="B3" s="6">
        <v>3.39</v>
      </c>
      <c r="C3" s="6">
        <v>0.29499999999999998</v>
      </c>
      <c r="D3" s="9">
        <v>48304</v>
      </c>
      <c r="E3" s="9">
        <v>36675</v>
      </c>
      <c r="F3" s="9">
        <v>44</v>
      </c>
    </row>
    <row r="4" spans="1:6" x14ac:dyDescent="0.25">
      <c r="A4" s="7" t="s">
        <v>47</v>
      </c>
      <c r="B4" s="6">
        <v>3.38</v>
      </c>
      <c r="C4" s="6">
        <v>0.29599999999999999</v>
      </c>
      <c r="D4" s="9">
        <v>2717</v>
      </c>
      <c r="E4" s="9">
        <v>28200</v>
      </c>
      <c r="F4" s="9">
        <v>3098</v>
      </c>
    </row>
    <row r="5" spans="1:6" x14ac:dyDescent="0.25">
      <c r="A5" s="8" t="s">
        <v>41</v>
      </c>
      <c r="B5" s="6">
        <v>1.9530000000000001</v>
      </c>
      <c r="C5" s="6">
        <v>0.51200000000000001</v>
      </c>
      <c r="D5" s="9">
        <v>621</v>
      </c>
      <c r="E5" s="9">
        <v>165050</v>
      </c>
      <c r="F5" s="9">
        <v>2608</v>
      </c>
    </row>
    <row r="6" spans="1:6" x14ac:dyDescent="0.25">
      <c r="A6" s="7" t="s">
        <v>42</v>
      </c>
      <c r="B6" s="6">
        <v>4.0819999999999999</v>
      </c>
      <c r="C6" s="6">
        <v>0.245</v>
      </c>
      <c r="D6" s="9">
        <v>1056</v>
      </c>
      <c r="E6" s="9">
        <v>19200</v>
      </c>
      <c r="F6" s="9">
        <v>1</v>
      </c>
    </row>
    <row r="7" spans="1:6" x14ac:dyDescent="0.25">
      <c r="A7" s="8" t="s">
        <v>43</v>
      </c>
      <c r="B7" s="6">
        <v>3.242</v>
      </c>
      <c r="C7" s="6">
        <v>0.308</v>
      </c>
      <c r="D7" s="9">
        <v>520</v>
      </c>
      <c r="E7" s="9">
        <v>32175</v>
      </c>
      <c r="F7" s="9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FCB3-FB1C-4E32-9224-48F9C10B5A87}">
  <dimension ref="A1:M55"/>
  <sheetViews>
    <sheetView topLeftCell="A27" zoomScale="115" zoomScaleNormal="115" workbookViewId="0">
      <selection activeCell="K73" sqref="K73"/>
    </sheetView>
  </sheetViews>
  <sheetFormatPr defaultRowHeight="15" x14ac:dyDescent="0.25"/>
  <cols>
    <col min="1" max="3" width="11.140625" bestFit="1" customWidth="1"/>
    <col min="4" max="4" width="11.140625" style="14" bestFit="1" customWidth="1"/>
    <col min="5" max="9" width="11.140625" bestFit="1" customWidth="1"/>
    <col min="10" max="14" width="12.140625" bestFit="1" customWidth="1"/>
  </cols>
  <sheetData>
    <row r="1" spans="1:13" x14ac:dyDescent="0.25">
      <c r="A1" t="s">
        <v>6</v>
      </c>
      <c r="B1" t="s">
        <v>44</v>
      </c>
      <c r="C1" t="s">
        <v>54</v>
      </c>
      <c r="D1" s="14" t="s">
        <v>9</v>
      </c>
      <c r="E1" s="13" t="s">
        <v>10</v>
      </c>
      <c r="F1" s="2" t="s">
        <v>39</v>
      </c>
      <c r="G1" s="2" t="s">
        <v>12</v>
      </c>
      <c r="H1" s="2" t="s">
        <v>13</v>
      </c>
      <c r="I1" s="2" t="s">
        <v>14</v>
      </c>
      <c r="J1" s="2" t="s">
        <v>15</v>
      </c>
      <c r="K1" t="s">
        <v>16</v>
      </c>
      <c r="L1" t="s">
        <v>40</v>
      </c>
      <c r="M1" t="s">
        <v>55</v>
      </c>
    </row>
    <row r="2" spans="1:13" x14ac:dyDescent="0.25">
      <c r="A2" s="1" t="s">
        <v>49</v>
      </c>
      <c r="B2" s="6">
        <v>2129.6999999999998</v>
      </c>
      <c r="C2" s="6">
        <v>93.337000000000003</v>
      </c>
      <c r="D2" s="14">
        <v>2061.1</v>
      </c>
      <c r="E2" s="12">
        <v>2706.5</v>
      </c>
      <c r="F2" s="12">
        <v>2062.1999999999998</v>
      </c>
      <c r="G2" s="12">
        <v>2063.9</v>
      </c>
      <c r="H2" s="12">
        <v>2065.9989999999998</v>
      </c>
      <c r="I2" s="12">
        <v>2081.9</v>
      </c>
      <c r="J2" s="6">
        <v>2453.4009999999998</v>
      </c>
      <c r="K2" s="6">
        <v>2591.701</v>
      </c>
      <c r="L2" s="6">
        <v>2702.6</v>
      </c>
      <c r="M2" s="12">
        <v>4.38</v>
      </c>
    </row>
    <row r="3" spans="1:13" x14ac:dyDescent="0.25">
      <c r="A3" s="1" t="s">
        <v>50</v>
      </c>
      <c r="B3" s="6">
        <v>914.14499999999998</v>
      </c>
      <c r="C3" s="6">
        <v>79.268000000000001</v>
      </c>
      <c r="D3" s="14">
        <v>863.9</v>
      </c>
      <c r="E3" s="12">
        <v>1856.8</v>
      </c>
      <c r="F3" s="12">
        <v>864.4</v>
      </c>
      <c r="G3" s="12">
        <v>864.7</v>
      </c>
      <c r="H3" s="12">
        <v>866.6</v>
      </c>
      <c r="I3" s="12">
        <v>884.8</v>
      </c>
      <c r="J3" s="6">
        <v>1240.8109999999999</v>
      </c>
      <c r="K3" s="6">
        <v>1657.1579999999999</v>
      </c>
      <c r="L3" s="6">
        <v>1820.8040000000001</v>
      </c>
      <c r="M3" s="12">
        <v>8.67</v>
      </c>
    </row>
    <row r="4" spans="1:13" x14ac:dyDescent="0.25">
      <c r="A4" s="1" t="s">
        <v>51</v>
      </c>
      <c r="B4" s="6">
        <v>719.16300000000001</v>
      </c>
      <c r="C4" s="6">
        <v>54.83</v>
      </c>
      <c r="D4" s="14">
        <v>685.2</v>
      </c>
      <c r="E4" s="12">
        <v>1197</v>
      </c>
      <c r="F4" s="12">
        <v>685.2</v>
      </c>
      <c r="G4" s="12">
        <v>685.5</v>
      </c>
      <c r="H4" s="12">
        <v>686.1</v>
      </c>
      <c r="I4" s="12">
        <v>696.5</v>
      </c>
      <c r="J4" s="6">
        <v>919.20899999999995</v>
      </c>
      <c r="K4" s="6">
        <v>1094.2070000000001</v>
      </c>
      <c r="L4" s="6">
        <v>1167.403</v>
      </c>
      <c r="M4" s="12">
        <v>7.62</v>
      </c>
    </row>
    <row r="5" spans="1:13" x14ac:dyDescent="0.25">
      <c r="A5" s="1" t="s">
        <v>52</v>
      </c>
      <c r="B5" s="6">
        <v>83.978999999999999</v>
      </c>
      <c r="C5" s="6">
        <v>10.256</v>
      </c>
      <c r="D5" s="14">
        <v>76.8</v>
      </c>
      <c r="E5" s="12">
        <v>264.2</v>
      </c>
      <c r="F5" s="12">
        <v>76.8</v>
      </c>
      <c r="G5" s="12">
        <v>76.900000000000006</v>
      </c>
      <c r="H5" s="12">
        <v>77.400000000000006</v>
      </c>
      <c r="I5" s="12">
        <v>80.2</v>
      </c>
      <c r="J5" s="6">
        <v>122.6</v>
      </c>
      <c r="K5" s="6">
        <v>207.00200000000001</v>
      </c>
      <c r="L5" s="6">
        <v>246.00200000000001</v>
      </c>
      <c r="M5" s="12">
        <v>12.21</v>
      </c>
    </row>
    <row r="6" spans="1:13" x14ac:dyDescent="0.25">
      <c r="A6" s="1" t="s">
        <v>53</v>
      </c>
      <c r="B6" s="6">
        <v>86.757000000000005</v>
      </c>
      <c r="C6" s="6">
        <v>9.3360000000000003</v>
      </c>
      <c r="D6" s="14">
        <v>78.900000000000006</v>
      </c>
      <c r="E6" s="12">
        <v>239.7</v>
      </c>
      <c r="F6" s="12">
        <v>79</v>
      </c>
      <c r="G6" s="12">
        <v>79.2</v>
      </c>
      <c r="H6" s="12">
        <v>79.599999999999994</v>
      </c>
      <c r="I6" s="12">
        <v>83.4</v>
      </c>
      <c r="J6" s="6">
        <v>122.202</v>
      </c>
      <c r="K6" s="6">
        <v>162.505</v>
      </c>
      <c r="L6" s="6">
        <v>219.50200000000001</v>
      </c>
      <c r="M6" s="12">
        <v>10.76</v>
      </c>
    </row>
    <row r="7" spans="1:13" x14ac:dyDescent="0.25">
      <c r="A7" s="1" t="s">
        <v>49</v>
      </c>
      <c r="B7" s="6">
        <v>2151.0149999999999</v>
      </c>
      <c r="C7" s="6">
        <v>111.883</v>
      </c>
      <c r="D7" s="14">
        <v>2060.8000000000002</v>
      </c>
      <c r="E7" s="12">
        <v>4415.3</v>
      </c>
      <c r="F7" s="12">
        <v>2061.5</v>
      </c>
      <c r="G7" s="12">
        <v>2063.6999999999998</v>
      </c>
      <c r="H7" s="12">
        <v>2066.3000000000002</v>
      </c>
      <c r="I7" s="12">
        <v>2090.4</v>
      </c>
      <c r="J7" s="6">
        <v>2514.123</v>
      </c>
      <c r="K7" s="6">
        <v>2653.4090000000001</v>
      </c>
      <c r="L7" s="6">
        <v>2857.4560000000001</v>
      </c>
      <c r="M7" s="12">
        <v>5.2</v>
      </c>
    </row>
    <row r="8" spans="1:13" x14ac:dyDescent="0.25">
      <c r="A8" s="1" t="s">
        <v>50</v>
      </c>
      <c r="B8" s="6">
        <v>917.89099999999996</v>
      </c>
      <c r="C8" s="6">
        <v>80.441000000000003</v>
      </c>
      <c r="D8" s="14">
        <v>861.4</v>
      </c>
      <c r="E8" s="12">
        <v>1802.4</v>
      </c>
      <c r="F8" s="12">
        <v>861.6</v>
      </c>
      <c r="G8" s="12">
        <v>862.4</v>
      </c>
      <c r="H8" s="12">
        <v>864.3</v>
      </c>
      <c r="I8" s="12">
        <v>883.9</v>
      </c>
      <c r="J8" s="6">
        <v>1219.001</v>
      </c>
      <c r="K8" s="6">
        <v>1614.617</v>
      </c>
      <c r="L8" s="6">
        <v>1792.8009999999999</v>
      </c>
      <c r="M8" s="12">
        <v>8.76</v>
      </c>
    </row>
    <row r="9" spans="1:13" x14ac:dyDescent="0.25">
      <c r="A9" s="1" t="s">
        <v>51</v>
      </c>
      <c r="B9" s="6">
        <v>719.79</v>
      </c>
      <c r="C9" s="6">
        <v>53.780999999999999</v>
      </c>
      <c r="D9" s="14">
        <v>685</v>
      </c>
      <c r="E9" s="12">
        <v>1264</v>
      </c>
      <c r="F9" s="12">
        <v>685</v>
      </c>
      <c r="G9" s="12">
        <v>685.5</v>
      </c>
      <c r="H9" s="12">
        <v>686.1</v>
      </c>
      <c r="I9" s="12">
        <v>696.7</v>
      </c>
      <c r="J9" s="6">
        <v>912.40800000000002</v>
      </c>
      <c r="K9" s="6">
        <v>1070.703</v>
      </c>
      <c r="L9" s="6">
        <v>1191.2070000000001</v>
      </c>
      <c r="M9" s="12">
        <v>7.47</v>
      </c>
    </row>
    <row r="10" spans="1:13" x14ac:dyDescent="0.25">
      <c r="A10" s="1" t="s">
        <v>52</v>
      </c>
      <c r="B10" s="6">
        <v>82.057000000000002</v>
      </c>
      <c r="C10" s="6">
        <v>8.4749999999999996</v>
      </c>
      <c r="D10" s="14">
        <v>76.7</v>
      </c>
      <c r="E10" s="12">
        <v>316.2</v>
      </c>
      <c r="F10" s="12">
        <v>76.8</v>
      </c>
      <c r="G10" s="12">
        <v>76.8</v>
      </c>
      <c r="H10" s="12">
        <v>77</v>
      </c>
      <c r="I10" s="12">
        <v>80.099999999999994</v>
      </c>
      <c r="J10" s="6">
        <v>121.70099999999999</v>
      </c>
      <c r="K10" s="6">
        <v>145.40600000000001</v>
      </c>
      <c r="L10" s="6">
        <v>219.71</v>
      </c>
      <c r="M10" s="12">
        <v>10.33</v>
      </c>
    </row>
    <row r="11" spans="1:13" x14ac:dyDescent="0.25">
      <c r="A11" s="1" t="s">
        <v>53</v>
      </c>
      <c r="B11" s="6">
        <v>84.433999999999997</v>
      </c>
      <c r="C11" s="6">
        <v>6.9610000000000003</v>
      </c>
      <c r="D11" s="14">
        <v>78.5</v>
      </c>
      <c r="E11" s="12">
        <v>209.1</v>
      </c>
      <c r="F11" s="12">
        <v>78.8</v>
      </c>
      <c r="G11" s="12">
        <v>78.900000000000006</v>
      </c>
      <c r="H11" s="12">
        <v>79.3</v>
      </c>
      <c r="I11" s="12">
        <v>82.8</v>
      </c>
      <c r="J11" s="6">
        <v>119.301</v>
      </c>
      <c r="K11" s="6">
        <v>133.702</v>
      </c>
      <c r="L11" s="6">
        <v>206.7</v>
      </c>
      <c r="M11" s="12">
        <v>8.24</v>
      </c>
    </row>
    <row r="12" spans="1:13" x14ac:dyDescent="0.25">
      <c r="A12" s="1" t="s">
        <v>49</v>
      </c>
      <c r="B12" s="6">
        <v>2136.2640000000001</v>
      </c>
      <c r="C12" s="6">
        <v>101.28400000000001</v>
      </c>
      <c r="D12" s="14">
        <v>2060.5</v>
      </c>
      <c r="E12" s="12">
        <v>4576.8</v>
      </c>
      <c r="F12" s="12">
        <v>2060.8000000000002</v>
      </c>
      <c r="G12" s="12">
        <v>2062.9</v>
      </c>
      <c r="H12" s="12">
        <v>2065.6990000000001</v>
      </c>
      <c r="I12" s="12">
        <v>2085.1</v>
      </c>
      <c r="J12" s="6">
        <v>2484.5010000000002</v>
      </c>
      <c r="K12" s="6">
        <v>2643.5030000000002</v>
      </c>
      <c r="L12" s="6">
        <v>2858.7719999999999</v>
      </c>
      <c r="M12" s="12">
        <v>4.74</v>
      </c>
    </row>
    <row r="13" spans="1:13" x14ac:dyDescent="0.25">
      <c r="A13" s="1" t="s">
        <v>50</v>
      </c>
      <c r="B13" s="6">
        <v>916.947</v>
      </c>
      <c r="C13" s="6">
        <v>80.515000000000001</v>
      </c>
      <c r="D13" s="14">
        <v>861.9</v>
      </c>
      <c r="E13" s="12">
        <v>1860</v>
      </c>
      <c r="F13" s="12">
        <v>862.2</v>
      </c>
      <c r="G13" s="12">
        <v>862.8</v>
      </c>
      <c r="H13" s="12">
        <v>864.4</v>
      </c>
      <c r="I13" s="12">
        <v>883</v>
      </c>
      <c r="J13" s="6">
        <v>1214.625</v>
      </c>
      <c r="K13" s="6">
        <v>1626.702</v>
      </c>
      <c r="L13" s="6">
        <v>1759.01</v>
      </c>
      <c r="M13" s="12">
        <v>8.7799999999999994</v>
      </c>
    </row>
    <row r="14" spans="1:13" x14ac:dyDescent="0.25">
      <c r="A14" s="1" t="s">
        <v>51</v>
      </c>
      <c r="B14" s="6">
        <v>722.904</v>
      </c>
      <c r="C14" s="6">
        <v>58.834000000000003</v>
      </c>
      <c r="D14" s="14">
        <v>684</v>
      </c>
      <c r="E14" s="12">
        <v>1225.8</v>
      </c>
      <c r="F14" s="12">
        <v>684.5</v>
      </c>
      <c r="G14" s="12">
        <v>685.1</v>
      </c>
      <c r="H14" s="12">
        <v>685.6</v>
      </c>
      <c r="I14" s="12">
        <v>696.4</v>
      </c>
      <c r="J14" s="6">
        <v>931.90599999999995</v>
      </c>
      <c r="K14" s="6">
        <v>1095.402</v>
      </c>
      <c r="L14" s="6">
        <v>1220.501</v>
      </c>
      <c r="M14" s="12">
        <v>8.14</v>
      </c>
    </row>
    <row r="15" spans="1:13" x14ac:dyDescent="0.25">
      <c r="A15" s="1" t="s">
        <v>52</v>
      </c>
      <c r="B15" s="6">
        <v>81.991</v>
      </c>
      <c r="C15" s="6">
        <v>8.43</v>
      </c>
      <c r="D15" s="14">
        <v>76.8</v>
      </c>
      <c r="E15" s="12">
        <v>241.2</v>
      </c>
      <c r="F15" s="12">
        <v>76.900000000000006</v>
      </c>
      <c r="G15" s="12">
        <v>76.900000000000006</v>
      </c>
      <c r="H15" s="12">
        <v>77</v>
      </c>
      <c r="I15" s="12">
        <v>80</v>
      </c>
      <c r="J15" s="6">
        <v>118.9</v>
      </c>
      <c r="K15" s="6">
        <v>161.50299999999999</v>
      </c>
      <c r="L15" s="6">
        <v>240.9</v>
      </c>
      <c r="M15" s="12">
        <v>10.28</v>
      </c>
    </row>
    <row r="16" spans="1:13" x14ac:dyDescent="0.25">
      <c r="A16" s="1" t="s">
        <v>53</v>
      </c>
      <c r="B16" s="6">
        <v>86.417000000000002</v>
      </c>
      <c r="C16" s="6">
        <v>9.484</v>
      </c>
      <c r="D16" s="14">
        <v>78.900000000000006</v>
      </c>
      <c r="E16" s="12">
        <v>381.9</v>
      </c>
      <c r="F16" s="12">
        <v>79.099999999999994</v>
      </c>
      <c r="G16" s="12">
        <v>79.2</v>
      </c>
      <c r="H16" s="12">
        <v>79.400000000000006</v>
      </c>
      <c r="I16" s="12">
        <v>83.7</v>
      </c>
      <c r="J16" s="6">
        <v>124.001</v>
      </c>
      <c r="K16" s="6">
        <v>157.303</v>
      </c>
      <c r="L16" s="6">
        <v>277.20999999999998</v>
      </c>
      <c r="M16" s="12">
        <v>10.97</v>
      </c>
    </row>
    <row r="17" spans="1:13" x14ac:dyDescent="0.25">
      <c r="A17" s="1" t="s">
        <v>49</v>
      </c>
      <c r="B17" s="6">
        <v>2120.7130000000002</v>
      </c>
      <c r="C17" s="6">
        <v>86.421000000000006</v>
      </c>
      <c r="D17" s="14">
        <v>2056.5</v>
      </c>
      <c r="E17" s="12">
        <v>2675.4</v>
      </c>
      <c r="F17" s="12">
        <v>2056.9</v>
      </c>
      <c r="G17" s="12">
        <v>2057.5</v>
      </c>
      <c r="H17" s="12">
        <v>2060.3000000000002</v>
      </c>
      <c r="I17" s="12">
        <v>2077</v>
      </c>
      <c r="J17" s="6">
        <v>2433.6030000000001</v>
      </c>
      <c r="K17" s="6">
        <v>2565.5059999999999</v>
      </c>
      <c r="L17" s="6">
        <v>2662.6010000000001</v>
      </c>
      <c r="M17" s="12">
        <v>4.08</v>
      </c>
    </row>
    <row r="18" spans="1:13" x14ac:dyDescent="0.25">
      <c r="A18" s="1" t="s">
        <v>50</v>
      </c>
      <c r="B18" s="6">
        <v>912.84699999999998</v>
      </c>
      <c r="C18" s="6">
        <v>78.138999999999996</v>
      </c>
      <c r="D18" s="14">
        <v>861</v>
      </c>
      <c r="E18" s="12">
        <v>1938.6</v>
      </c>
      <c r="F18" s="12">
        <v>861.3</v>
      </c>
      <c r="G18" s="12">
        <v>862</v>
      </c>
      <c r="H18" s="12">
        <v>863.399</v>
      </c>
      <c r="I18" s="12">
        <v>881.8</v>
      </c>
      <c r="J18" s="6">
        <v>1187.1020000000001</v>
      </c>
      <c r="K18" s="6">
        <v>1654.1310000000001</v>
      </c>
      <c r="L18" s="6">
        <v>1794.5139999999999</v>
      </c>
      <c r="M18" s="12">
        <v>8.56</v>
      </c>
    </row>
    <row r="19" spans="1:13" x14ac:dyDescent="0.25">
      <c r="A19" s="1" t="s">
        <v>51</v>
      </c>
      <c r="B19" s="6">
        <v>718.91099999999994</v>
      </c>
      <c r="C19" s="6">
        <v>53.561</v>
      </c>
      <c r="D19" s="14">
        <v>684.5</v>
      </c>
      <c r="E19" s="12">
        <v>1193.5</v>
      </c>
      <c r="F19" s="12">
        <v>684.5</v>
      </c>
      <c r="G19" s="12">
        <v>684.7</v>
      </c>
      <c r="H19" s="12">
        <v>685.4</v>
      </c>
      <c r="I19" s="12">
        <v>696.1</v>
      </c>
      <c r="J19" s="6">
        <v>908.40099999999995</v>
      </c>
      <c r="K19" s="6">
        <v>1076.203</v>
      </c>
      <c r="L19" s="6">
        <v>1178.502</v>
      </c>
      <c r="M19" s="12">
        <v>7.45</v>
      </c>
    </row>
    <row r="20" spans="1:13" x14ac:dyDescent="0.25">
      <c r="A20" s="1" t="s">
        <v>52</v>
      </c>
      <c r="B20" s="6">
        <v>82.33</v>
      </c>
      <c r="C20" s="6">
        <v>8.8409999999999993</v>
      </c>
      <c r="D20" s="14">
        <v>76.5</v>
      </c>
      <c r="E20" s="12">
        <v>245.1</v>
      </c>
      <c r="F20" s="12">
        <v>76.5</v>
      </c>
      <c r="G20" s="12">
        <v>76.599999999999994</v>
      </c>
      <c r="H20" s="12">
        <v>76.8</v>
      </c>
      <c r="I20" s="12">
        <v>79.900000000000006</v>
      </c>
      <c r="J20" s="6">
        <v>118.205</v>
      </c>
      <c r="K20" s="6">
        <v>206.20099999999999</v>
      </c>
      <c r="L20" s="6">
        <v>228.50200000000001</v>
      </c>
      <c r="M20" s="12">
        <v>10.74</v>
      </c>
    </row>
    <row r="21" spans="1:13" x14ac:dyDescent="0.25">
      <c r="A21" s="1" t="s">
        <v>53</v>
      </c>
      <c r="B21" s="6">
        <v>85.075999999999993</v>
      </c>
      <c r="C21" s="6">
        <v>7.5359999999999996</v>
      </c>
      <c r="D21" s="14">
        <v>79</v>
      </c>
      <c r="E21" s="12">
        <v>230.9</v>
      </c>
      <c r="F21" s="12">
        <v>79</v>
      </c>
      <c r="G21" s="12">
        <v>79.099999999999994</v>
      </c>
      <c r="H21" s="12">
        <v>79.3</v>
      </c>
      <c r="I21" s="12">
        <v>83.1</v>
      </c>
      <c r="J21" s="6">
        <v>121.1</v>
      </c>
      <c r="K21" s="6">
        <v>137.80000000000001</v>
      </c>
      <c r="L21" s="6">
        <v>209.202</v>
      </c>
      <c r="M21" s="12">
        <v>8.86</v>
      </c>
    </row>
    <row r="22" spans="1:13" x14ac:dyDescent="0.25">
      <c r="A22" s="1" t="s">
        <v>49</v>
      </c>
      <c r="B22" s="6">
        <v>2145.5070000000001</v>
      </c>
      <c r="C22" s="6">
        <v>103.867</v>
      </c>
      <c r="D22" s="14">
        <v>2060.9</v>
      </c>
      <c r="E22" s="12">
        <v>4479.6000000000004</v>
      </c>
      <c r="F22" s="12">
        <v>2061.8000000000002</v>
      </c>
      <c r="G22" s="12">
        <v>2063.6999999999998</v>
      </c>
      <c r="H22" s="12">
        <v>2066.9</v>
      </c>
      <c r="I22" s="12">
        <v>2094.8000000000002</v>
      </c>
      <c r="J22" s="6">
        <v>2501.701</v>
      </c>
      <c r="K22" s="6">
        <v>2675.9119999999998</v>
      </c>
      <c r="L22" s="6">
        <v>2758.0720000000001</v>
      </c>
      <c r="M22" s="12">
        <v>4.84</v>
      </c>
    </row>
    <row r="23" spans="1:13" x14ac:dyDescent="0.25">
      <c r="A23" s="1" t="s">
        <v>50</v>
      </c>
      <c r="B23" s="6">
        <v>937.61599999999999</v>
      </c>
      <c r="C23" s="6">
        <v>126.712</v>
      </c>
      <c r="D23" s="14">
        <v>861.5</v>
      </c>
      <c r="E23" s="12">
        <v>1945.9</v>
      </c>
      <c r="F23" s="12">
        <v>861.5</v>
      </c>
      <c r="G23" s="12">
        <v>862.7</v>
      </c>
      <c r="H23" s="12">
        <v>864.4</v>
      </c>
      <c r="I23" s="12">
        <v>891.9</v>
      </c>
      <c r="J23" s="6">
        <v>1511.404</v>
      </c>
      <c r="K23" s="6">
        <v>1790.5029999999999</v>
      </c>
      <c r="L23" s="6">
        <v>1837.711</v>
      </c>
      <c r="M23" s="12">
        <v>13.51</v>
      </c>
    </row>
    <row r="24" spans="1:13" x14ac:dyDescent="0.25">
      <c r="A24" s="1" t="s">
        <v>51</v>
      </c>
      <c r="B24" s="6">
        <v>725.74800000000005</v>
      </c>
      <c r="C24" s="6">
        <v>71.081000000000003</v>
      </c>
      <c r="D24" s="14">
        <v>685</v>
      </c>
      <c r="E24" s="12">
        <v>1324.3</v>
      </c>
      <c r="F24" s="12">
        <v>685</v>
      </c>
      <c r="G24" s="12">
        <v>685.5</v>
      </c>
      <c r="H24" s="12">
        <v>686.2</v>
      </c>
      <c r="I24" s="12">
        <v>698</v>
      </c>
      <c r="J24" s="6">
        <v>1042.604</v>
      </c>
      <c r="K24" s="6">
        <v>1107.6010000000001</v>
      </c>
      <c r="L24" s="6">
        <v>1263.9059999999999</v>
      </c>
      <c r="M24" s="12">
        <v>9.7899999999999991</v>
      </c>
    </row>
    <row r="25" spans="1:13" x14ac:dyDescent="0.25">
      <c r="A25" s="1" t="s">
        <v>52</v>
      </c>
      <c r="B25" s="6">
        <v>84.058000000000007</v>
      </c>
      <c r="C25" s="6">
        <v>11.478</v>
      </c>
      <c r="D25" s="14">
        <v>76.900000000000006</v>
      </c>
      <c r="E25" s="12">
        <v>250.6</v>
      </c>
      <c r="F25" s="12">
        <v>77</v>
      </c>
      <c r="G25" s="12">
        <v>77.099999999999994</v>
      </c>
      <c r="H25" s="12">
        <v>77.3</v>
      </c>
      <c r="I25" s="12">
        <v>80.400000000000006</v>
      </c>
      <c r="J25" s="6">
        <v>126.1</v>
      </c>
      <c r="K25" s="6">
        <v>202.001</v>
      </c>
      <c r="L25" s="6">
        <v>223.203</v>
      </c>
      <c r="M25" s="12">
        <v>13.65</v>
      </c>
    </row>
    <row r="26" spans="1:13" x14ac:dyDescent="0.25">
      <c r="A26" s="1" t="s">
        <v>53</v>
      </c>
      <c r="B26" s="6">
        <v>86.287999999999997</v>
      </c>
      <c r="C26" s="6">
        <v>10.186999999999999</v>
      </c>
      <c r="D26" s="14">
        <v>79.2</v>
      </c>
      <c r="E26" s="12">
        <v>222.4</v>
      </c>
      <c r="F26" s="12">
        <v>79.3</v>
      </c>
      <c r="G26" s="12">
        <v>79.400000000000006</v>
      </c>
      <c r="H26" s="12">
        <v>79.599999999999994</v>
      </c>
      <c r="I26" s="12">
        <v>82.9</v>
      </c>
      <c r="J26" s="6">
        <v>125.2</v>
      </c>
      <c r="K26" s="6">
        <v>150.69999999999999</v>
      </c>
      <c r="L26" s="6">
        <v>212.601</v>
      </c>
      <c r="M26" s="12">
        <v>11.81</v>
      </c>
    </row>
    <row r="27" spans="1:13" x14ac:dyDescent="0.25">
      <c r="A27" s="1" t="s">
        <v>49</v>
      </c>
      <c r="B27" s="6">
        <v>2178.5010000000002</v>
      </c>
      <c r="C27" s="6">
        <v>131.73400000000001</v>
      </c>
      <c r="D27" s="14">
        <v>2066.4</v>
      </c>
      <c r="E27" s="12">
        <v>4770.1000000000004</v>
      </c>
      <c r="F27" s="12">
        <v>2066.4</v>
      </c>
      <c r="G27" s="12">
        <v>2067.5</v>
      </c>
      <c r="H27" s="12">
        <v>2070.8000000000002</v>
      </c>
      <c r="I27" s="12">
        <v>2122.1999999999998</v>
      </c>
      <c r="J27" s="6">
        <v>2610.623</v>
      </c>
      <c r="K27" s="6">
        <v>2975.2069999999999</v>
      </c>
      <c r="L27" s="6">
        <v>4614.3159999999998</v>
      </c>
      <c r="M27" s="12">
        <v>6.05</v>
      </c>
    </row>
    <row r="28" spans="1:13" x14ac:dyDescent="0.25">
      <c r="A28" s="1" t="s">
        <v>50</v>
      </c>
      <c r="B28" s="6">
        <v>956.26400000000001</v>
      </c>
      <c r="C28" s="6">
        <v>153.52799999999999</v>
      </c>
      <c r="D28" s="14">
        <v>860.4</v>
      </c>
      <c r="E28" s="12">
        <v>2133.8000000000002</v>
      </c>
      <c r="F28" s="12">
        <v>861.1</v>
      </c>
      <c r="G28" s="12">
        <v>861.8</v>
      </c>
      <c r="H28" s="12">
        <v>863.69899999999996</v>
      </c>
      <c r="I28" s="12">
        <v>896.8</v>
      </c>
      <c r="J28" s="6">
        <v>1654.338</v>
      </c>
      <c r="K28" s="6">
        <v>1898.212</v>
      </c>
      <c r="L28" s="6">
        <v>1943.519</v>
      </c>
      <c r="M28" s="12">
        <v>16.059999999999999</v>
      </c>
    </row>
    <row r="29" spans="1:13" x14ac:dyDescent="0.25">
      <c r="A29" s="1" t="s">
        <v>51</v>
      </c>
      <c r="B29" s="6">
        <v>729.85</v>
      </c>
      <c r="C29" s="6">
        <v>72.852999999999994</v>
      </c>
      <c r="D29" s="14">
        <v>683</v>
      </c>
      <c r="E29" s="12">
        <v>1467.7</v>
      </c>
      <c r="F29" s="12">
        <v>683.2</v>
      </c>
      <c r="G29" s="12">
        <v>683.7</v>
      </c>
      <c r="H29" s="12">
        <v>684.4</v>
      </c>
      <c r="I29" s="12">
        <v>699.5</v>
      </c>
      <c r="J29" s="6">
        <v>1029.9010000000001</v>
      </c>
      <c r="K29" s="6">
        <v>1175.809</v>
      </c>
      <c r="L29" s="6">
        <v>1420.8050000000001</v>
      </c>
      <c r="M29" s="12">
        <v>9.98</v>
      </c>
    </row>
    <row r="30" spans="1:13" x14ac:dyDescent="0.25">
      <c r="A30" s="1" t="s">
        <v>52</v>
      </c>
      <c r="B30" s="6">
        <v>82.808000000000007</v>
      </c>
      <c r="C30" s="6">
        <v>8.8740000000000006</v>
      </c>
      <c r="D30" s="14">
        <v>76.599999999999994</v>
      </c>
      <c r="E30" s="12">
        <v>257.7</v>
      </c>
      <c r="F30" s="12">
        <v>76.7</v>
      </c>
      <c r="G30" s="12">
        <v>76.8</v>
      </c>
      <c r="H30" s="12">
        <v>77</v>
      </c>
      <c r="I30" s="12">
        <v>80.099999999999994</v>
      </c>
      <c r="J30" s="6">
        <v>121.902</v>
      </c>
      <c r="K30" s="6">
        <v>172.501</v>
      </c>
      <c r="L30" s="6">
        <v>221.20400000000001</v>
      </c>
      <c r="M30" s="12">
        <v>10.72</v>
      </c>
    </row>
    <row r="31" spans="1:13" x14ac:dyDescent="0.25">
      <c r="A31" s="1" t="s">
        <v>53</v>
      </c>
      <c r="B31" s="6">
        <v>85.873000000000005</v>
      </c>
      <c r="C31" s="6">
        <v>8.1140000000000008</v>
      </c>
      <c r="D31" s="14">
        <v>79</v>
      </c>
      <c r="E31" s="12">
        <v>234.5</v>
      </c>
      <c r="F31" s="12">
        <v>79</v>
      </c>
      <c r="G31" s="12">
        <v>79.2</v>
      </c>
      <c r="H31" s="12">
        <v>79.5</v>
      </c>
      <c r="I31" s="12">
        <v>83.4</v>
      </c>
      <c r="J31" s="6">
        <v>119.101</v>
      </c>
      <c r="K31" s="6">
        <v>155.90199999999999</v>
      </c>
      <c r="L31" s="6">
        <v>229.101</v>
      </c>
      <c r="M31" s="12">
        <v>9.4499999999999993</v>
      </c>
    </row>
    <row r="32" spans="1:13" x14ac:dyDescent="0.25">
      <c r="B32" s="6"/>
      <c r="C32" s="6"/>
      <c r="E32" s="12"/>
      <c r="F32" s="12"/>
      <c r="G32" s="12"/>
      <c r="H32" s="12"/>
      <c r="I32" s="12"/>
      <c r="J32" s="6"/>
      <c r="K32" s="6"/>
      <c r="L32" s="6"/>
    </row>
    <row r="33" spans="1:13" x14ac:dyDescent="0.25">
      <c r="A33" t="s">
        <v>141</v>
      </c>
      <c r="B33" s="6">
        <f>AVERAGE(B2,B7,B12,B17,B22,B27)</f>
        <v>2143.6166666666668</v>
      </c>
      <c r="C33" s="6">
        <f t="shared" ref="C33:L33" si="0">AVERAGE(C2,C7,C12,C17,C22,C27)</f>
        <v>104.75433333333335</v>
      </c>
      <c r="D33" s="12">
        <f t="shared" si="0"/>
        <v>2061.0333333333333</v>
      </c>
      <c r="E33" s="12">
        <f t="shared" si="0"/>
        <v>3937.2833333333328</v>
      </c>
      <c r="F33" s="12">
        <f t="shared" si="0"/>
        <v>2061.6</v>
      </c>
      <c r="G33" s="12">
        <f t="shared" si="0"/>
        <v>2063.2000000000003</v>
      </c>
      <c r="H33" s="12">
        <f t="shared" si="0"/>
        <v>2065.9996666666666</v>
      </c>
      <c r="I33" s="12">
        <f t="shared" si="0"/>
        <v>2091.9</v>
      </c>
      <c r="J33" s="6">
        <f t="shared" si="0"/>
        <v>2499.6586666666667</v>
      </c>
      <c r="K33" s="6">
        <f t="shared" si="0"/>
        <v>2684.2063333333335</v>
      </c>
      <c r="L33" s="6">
        <f t="shared" si="0"/>
        <v>3075.6361666666671</v>
      </c>
      <c r="M33" s="6">
        <f>AVERAGE(M2,M7,M12,M17,M22,M27)</f>
        <v>4.8816666666666668</v>
      </c>
    </row>
    <row r="34" spans="1:13" x14ac:dyDescent="0.25">
      <c r="A34" t="s">
        <v>142</v>
      </c>
      <c r="B34" s="6">
        <f t="shared" ref="B34:M37" si="1">AVERAGE(B3,B8,B13,B18,B23,B28)</f>
        <v>925.95166666666671</v>
      </c>
      <c r="C34" s="6">
        <f t="shared" si="1"/>
        <v>99.767166666666654</v>
      </c>
      <c r="D34" s="12">
        <f t="shared" si="1"/>
        <v>861.68333333333328</v>
      </c>
      <c r="E34" s="12">
        <f t="shared" si="1"/>
        <v>1922.9166666666667</v>
      </c>
      <c r="F34" s="12">
        <f t="shared" si="1"/>
        <v>862.01666666666677</v>
      </c>
      <c r="G34" s="12">
        <f t="shared" si="1"/>
        <v>862.73333333333323</v>
      </c>
      <c r="H34" s="12">
        <f t="shared" si="1"/>
        <v>864.4663333333333</v>
      </c>
      <c r="I34" s="12">
        <f t="shared" si="1"/>
        <v>887.0333333333333</v>
      </c>
      <c r="J34" s="6">
        <f t="shared" si="1"/>
        <v>1337.8801666666666</v>
      </c>
      <c r="K34" s="6">
        <f t="shared" si="1"/>
        <v>1706.8871666666666</v>
      </c>
      <c r="L34" s="6">
        <f t="shared" si="1"/>
        <v>1824.7265</v>
      </c>
      <c r="M34" s="6">
        <f t="shared" si="1"/>
        <v>10.723333333333334</v>
      </c>
    </row>
    <row r="35" spans="1:13" x14ac:dyDescent="0.25">
      <c r="A35" t="s">
        <v>140</v>
      </c>
      <c r="B35" s="6">
        <f t="shared" si="1"/>
        <v>722.72766666666666</v>
      </c>
      <c r="C35" s="6">
        <f t="shared" si="1"/>
        <v>60.823333333333331</v>
      </c>
      <c r="D35" s="12">
        <f t="shared" si="1"/>
        <v>684.44999999999993</v>
      </c>
      <c r="E35" s="12">
        <f t="shared" si="1"/>
        <v>1278.7166666666667</v>
      </c>
      <c r="F35" s="12">
        <f t="shared" si="1"/>
        <v>684.56666666666661</v>
      </c>
      <c r="G35" s="12">
        <f t="shared" si="1"/>
        <v>685</v>
      </c>
      <c r="H35" s="12">
        <f t="shared" si="1"/>
        <v>685.63333333333333</v>
      </c>
      <c r="I35" s="12">
        <f t="shared" si="1"/>
        <v>697.19999999999993</v>
      </c>
      <c r="J35" s="6">
        <f t="shared" si="1"/>
        <v>957.40483333333339</v>
      </c>
      <c r="K35" s="6">
        <f t="shared" si="1"/>
        <v>1103.3208333333334</v>
      </c>
      <c r="L35" s="6">
        <f t="shared" si="1"/>
        <v>1240.3873333333333</v>
      </c>
      <c r="M35" s="6">
        <f t="shared" si="1"/>
        <v>8.4083333333333332</v>
      </c>
    </row>
    <row r="36" spans="1:13" x14ac:dyDescent="0.25">
      <c r="A36" t="s">
        <v>78</v>
      </c>
      <c r="B36" s="6">
        <f t="shared" si="1"/>
        <v>82.870499999999993</v>
      </c>
      <c r="C36" s="6">
        <f t="shared" si="1"/>
        <v>9.392333333333335</v>
      </c>
      <c r="D36" s="12">
        <f t="shared" si="1"/>
        <v>76.716666666666683</v>
      </c>
      <c r="E36" s="12">
        <f t="shared" si="1"/>
        <v>262.49999999999994</v>
      </c>
      <c r="F36" s="12">
        <f t="shared" si="1"/>
        <v>76.783333333333331</v>
      </c>
      <c r="G36" s="12">
        <f t="shared" si="1"/>
        <v>76.849999999999994</v>
      </c>
      <c r="H36" s="12">
        <f t="shared" si="1"/>
        <v>77.083333333333329</v>
      </c>
      <c r="I36" s="12">
        <f t="shared" si="1"/>
        <v>80.116666666666674</v>
      </c>
      <c r="J36" s="6">
        <f t="shared" si="1"/>
        <v>121.568</v>
      </c>
      <c r="K36" s="6">
        <f t="shared" si="1"/>
        <v>182.43566666666666</v>
      </c>
      <c r="L36" s="6">
        <f t="shared" si="1"/>
        <v>229.92016666666666</v>
      </c>
      <c r="M36" s="6">
        <f t="shared" si="1"/>
        <v>11.321666666666667</v>
      </c>
    </row>
    <row r="37" spans="1:13" x14ac:dyDescent="0.25">
      <c r="A37" t="s">
        <v>77</v>
      </c>
      <c r="B37" s="6">
        <f t="shared" si="1"/>
        <v>85.807500000000005</v>
      </c>
      <c r="C37" s="6">
        <f t="shared" si="1"/>
        <v>8.6029999999999998</v>
      </c>
      <c r="D37" s="12">
        <f t="shared" si="1"/>
        <v>78.916666666666671</v>
      </c>
      <c r="E37" s="12">
        <f t="shared" si="1"/>
        <v>253.08333333333334</v>
      </c>
      <c r="F37" s="12">
        <f t="shared" si="1"/>
        <v>79.033333333333331</v>
      </c>
      <c r="G37" s="12">
        <f t="shared" si="1"/>
        <v>79.166666666666657</v>
      </c>
      <c r="H37" s="12">
        <f t="shared" si="1"/>
        <v>79.449999999999989</v>
      </c>
      <c r="I37" s="12">
        <f t="shared" si="1"/>
        <v>83.216666666666654</v>
      </c>
      <c r="J37" s="6">
        <f t="shared" si="1"/>
        <v>121.81750000000001</v>
      </c>
      <c r="K37" s="6">
        <f t="shared" si="1"/>
        <v>149.65200000000002</v>
      </c>
      <c r="L37" s="6">
        <f t="shared" si="1"/>
        <v>225.71933333333337</v>
      </c>
      <c r="M37" s="6">
        <f t="shared" si="1"/>
        <v>10.015000000000001</v>
      </c>
    </row>
    <row r="38" spans="1:13" x14ac:dyDescent="0.25">
      <c r="E38" s="12"/>
      <c r="F38" s="12"/>
      <c r="G38" s="12"/>
      <c r="H38" s="12"/>
      <c r="I38" s="12"/>
    </row>
    <row r="39" spans="1:13" x14ac:dyDescent="0.25">
      <c r="A39" s="8" t="s">
        <v>41</v>
      </c>
      <c r="B39" s="10">
        <v>22793.186000000002</v>
      </c>
      <c r="C39" s="10">
        <v>753.94899999999996</v>
      </c>
      <c r="D39" s="17">
        <v>21618.799999999999</v>
      </c>
      <c r="E39" s="15">
        <v>32119.8</v>
      </c>
      <c r="F39" s="15">
        <v>21620.799999999999</v>
      </c>
      <c r="G39" s="15">
        <v>21677.098999999998</v>
      </c>
      <c r="H39" s="15">
        <v>21786.698</v>
      </c>
      <c r="I39" s="15">
        <v>22615.25</v>
      </c>
      <c r="J39" s="10">
        <v>25176.866000000002</v>
      </c>
      <c r="K39" s="10">
        <v>27515.806</v>
      </c>
      <c r="L39" s="10">
        <v>31854.127</v>
      </c>
      <c r="M39" s="10">
        <v>3.31</v>
      </c>
    </row>
    <row r="40" spans="1:13" x14ac:dyDescent="0.25">
      <c r="A40" s="7" t="s">
        <v>43</v>
      </c>
      <c r="B40" s="11">
        <v>21415.759999999998</v>
      </c>
      <c r="C40" s="11">
        <v>852.62099999999998</v>
      </c>
      <c r="D40" s="18">
        <v>20102</v>
      </c>
      <c r="E40" s="16">
        <v>31530.9</v>
      </c>
      <c r="F40" s="16">
        <v>20120.398000000001</v>
      </c>
      <c r="G40" s="16">
        <v>20221.399000000001</v>
      </c>
      <c r="H40" s="16">
        <v>20311.493999999999</v>
      </c>
      <c r="I40" s="16">
        <v>21196.1</v>
      </c>
      <c r="J40" s="11">
        <v>24194.512999999999</v>
      </c>
      <c r="K40" s="11">
        <v>26927.364000000001</v>
      </c>
      <c r="L40" s="11">
        <v>30122.541000000001</v>
      </c>
      <c r="M40" s="11">
        <v>3.98</v>
      </c>
    </row>
    <row r="41" spans="1:13" x14ac:dyDescent="0.25">
      <c r="A41" s="8" t="s">
        <v>56</v>
      </c>
      <c r="B41" s="10">
        <v>23038.721000000001</v>
      </c>
      <c r="C41" s="10">
        <v>768.46799999999996</v>
      </c>
      <c r="D41" s="17">
        <v>21785.200000000001</v>
      </c>
      <c r="E41" s="15">
        <v>32731.599999999999</v>
      </c>
      <c r="F41" s="15">
        <v>21797.999</v>
      </c>
      <c r="G41" s="15">
        <v>21883.598000000002</v>
      </c>
      <c r="H41" s="15">
        <v>21995.094000000001</v>
      </c>
      <c r="I41" s="15">
        <v>22852.3</v>
      </c>
      <c r="J41" s="10">
        <v>25463.473000000002</v>
      </c>
      <c r="K41" s="10">
        <v>27759.893</v>
      </c>
      <c r="L41" s="10">
        <v>32045.469000000001</v>
      </c>
      <c r="M41" s="10">
        <v>3.34</v>
      </c>
    </row>
    <row r="42" spans="1:13" x14ac:dyDescent="0.25">
      <c r="A42" s="7" t="s">
        <v>57</v>
      </c>
      <c r="B42" s="11">
        <v>21730.710999999999</v>
      </c>
      <c r="C42" s="11">
        <v>1060.2909999999999</v>
      </c>
      <c r="D42" s="18">
        <v>20335.5</v>
      </c>
      <c r="E42" s="16">
        <v>29363</v>
      </c>
      <c r="F42" s="16">
        <v>20349.098999999998</v>
      </c>
      <c r="G42" s="16">
        <v>20371.197</v>
      </c>
      <c r="H42" s="16">
        <v>20469.092000000001</v>
      </c>
      <c r="I42" s="16">
        <v>21393.5</v>
      </c>
      <c r="J42" s="11">
        <v>25208.626</v>
      </c>
      <c r="K42" s="11">
        <v>26595.325000000001</v>
      </c>
      <c r="L42" s="11">
        <v>29012.834999999999</v>
      </c>
      <c r="M42" s="11">
        <v>4.88</v>
      </c>
    </row>
    <row r="43" spans="1:13" x14ac:dyDescent="0.25">
      <c r="A43" s="8" t="s">
        <v>56</v>
      </c>
      <c r="B43" s="10">
        <v>22684.574000000001</v>
      </c>
      <c r="C43" s="10">
        <v>782.8</v>
      </c>
      <c r="D43" s="17">
        <v>21419.4</v>
      </c>
      <c r="E43" s="15">
        <v>32739.599999999999</v>
      </c>
      <c r="F43" s="15">
        <v>21438.998</v>
      </c>
      <c r="G43" s="15">
        <v>21524.499</v>
      </c>
      <c r="H43" s="15">
        <v>21627.580999999998</v>
      </c>
      <c r="I43" s="15">
        <v>22511.1</v>
      </c>
      <c r="J43" s="10">
        <v>25127.106</v>
      </c>
      <c r="K43" s="10">
        <v>27757.705999999998</v>
      </c>
      <c r="L43" s="10">
        <v>31563.218000000001</v>
      </c>
      <c r="M43" s="10">
        <v>3.45</v>
      </c>
    </row>
    <row r="44" spans="1:13" x14ac:dyDescent="0.25">
      <c r="A44" s="7" t="s">
        <v>57</v>
      </c>
      <c r="B44" s="11">
        <v>21504.379000000001</v>
      </c>
      <c r="C44" s="11">
        <v>1033.579</v>
      </c>
      <c r="D44" s="18">
        <v>20060.8</v>
      </c>
      <c r="E44" s="16">
        <v>31213.5</v>
      </c>
      <c r="F44" s="16">
        <v>20065.2</v>
      </c>
      <c r="G44" s="16">
        <v>20116.998</v>
      </c>
      <c r="H44" s="16">
        <v>20246.899000000001</v>
      </c>
      <c r="I44" s="16">
        <v>21201.05</v>
      </c>
      <c r="J44" s="11">
        <v>24850.657999999999</v>
      </c>
      <c r="K44" s="11">
        <v>27474.401999999998</v>
      </c>
      <c r="L44" s="11">
        <v>29283.593000000001</v>
      </c>
      <c r="M44" s="11">
        <v>4.8099999999999996</v>
      </c>
    </row>
    <row r="45" spans="1:13" x14ac:dyDescent="0.25">
      <c r="E45" s="12"/>
      <c r="F45" s="12"/>
      <c r="G45" s="12"/>
      <c r="H45" s="12"/>
      <c r="I45" s="12"/>
    </row>
    <row r="46" spans="1:13" x14ac:dyDescent="0.25">
      <c r="A46" t="str">
        <f>A39</f>
        <v>SSE</v>
      </c>
      <c r="B46" s="6">
        <f>AVERAGE(B39,B41,B43)</f>
        <v>22838.827000000001</v>
      </c>
      <c r="C46" s="6">
        <f t="shared" ref="C46:M46" si="2">AVERAGE(C39,C41,C43)</f>
        <v>768.40566666666655</v>
      </c>
      <c r="D46" s="6">
        <f t="shared" si="2"/>
        <v>21607.8</v>
      </c>
      <c r="E46" s="6">
        <f t="shared" si="2"/>
        <v>32530.333333333332</v>
      </c>
      <c r="F46" s="6">
        <f t="shared" si="2"/>
        <v>21619.265666666666</v>
      </c>
      <c r="G46" s="6">
        <f t="shared" si="2"/>
        <v>21695.065333333332</v>
      </c>
      <c r="H46" s="6">
        <f t="shared" si="2"/>
        <v>21803.124333333333</v>
      </c>
      <c r="I46" s="6">
        <f t="shared" si="2"/>
        <v>22659.55</v>
      </c>
      <c r="J46" s="6">
        <f t="shared" si="2"/>
        <v>25255.815000000002</v>
      </c>
      <c r="K46" s="6">
        <f t="shared" si="2"/>
        <v>27677.801666666666</v>
      </c>
      <c r="L46" s="6">
        <f t="shared" si="2"/>
        <v>31820.938000000006</v>
      </c>
      <c r="M46" s="6">
        <f t="shared" si="2"/>
        <v>3.3666666666666671</v>
      </c>
    </row>
    <row r="47" spans="1:13" x14ac:dyDescent="0.25">
      <c r="A47" t="str">
        <f>A40</f>
        <v>AVX</v>
      </c>
      <c r="B47" s="6">
        <f>AVERAGE(B40,B42,B44)</f>
        <v>21550.283333333333</v>
      </c>
      <c r="C47" s="6">
        <f t="shared" ref="C47:M47" si="3">AVERAGE(C40,C42,C44)</f>
        <v>982.1636666666667</v>
      </c>
      <c r="D47" s="6">
        <f t="shared" si="3"/>
        <v>20166.100000000002</v>
      </c>
      <c r="E47" s="6">
        <f t="shared" si="3"/>
        <v>30702.466666666664</v>
      </c>
      <c r="F47" s="6">
        <f t="shared" si="3"/>
        <v>20178.232333333333</v>
      </c>
      <c r="G47" s="6">
        <f t="shared" si="3"/>
        <v>20236.531333333336</v>
      </c>
      <c r="H47" s="6">
        <f t="shared" si="3"/>
        <v>20342.494999999999</v>
      </c>
      <c r="I47" s="6">
        <f t="shared" si="3"/>
        <v>21263.55</v>
      </c>
      <c r="J47" s="6">
        <f t="shared" si="3"/>
        <v>24751.265666666663</v>
      </c>
      <c r="K47" s="6">
        <f t="shared" si="3"/>
        <v>26999.030333333332</v>
      </c>
      <c r="L47" s="6">
        <f t="shared" si="3"/>
        <v>29472.989666666672</v>
      </c>
      <c r="M47" s="6">
        <f t="shared" si="3"/>
        <v>4.5566666666666658</v>
      </c>
    </row>
    <row r="48" spans="1:13" x14ac:dyDescent="0.25">
      <c r="M48" s="6"/>
    </row>
    <row r="49" spans="1:13" x14ac:dyDescent="0.25">
      <c r="A49" t="str">
        <f>A33</f>
        <v>наивное</v>
      </c>
      <c r="B49" s="6">
        <f>B33/B33</f>
        <v>1</v>
      </c>
      <c r="C49" s="6">
        <f t="shared" ref="C49:M49" si="4">C33/C33</f>
        <v>1</v>
      </c>
      <c r="D49" s="6">
        <f t="shared" si="4"/>
        <v>1</v>
      </c>
      <c r="E49" s="6">
        <f t="shared" si="4"/>
        <v>1</v>
      </c>
      <c r="F49" s="6">
        <f t="shared" si="4"/>
        <v>1</v>
      </c>
      <c r="G49" s="6">
        <f t="shared" si="4"/>
        <v>1</v>
      </c>
      <c r="H49" s="6">
        <f t="shared" si="4"/>
        <v>1</v>
      </c>
      <c r="I49" s="6">
        <f t="shared" si="4"/>
        <v>1</v>
      </c>
      <c r="J49" s="6">
        <f t="shared" si="4"/>
        <v>1</v>
      </c>
      <c r="K49" s="6">
        <f t="shared" si="4"/>
        <v>1</v>
      </c>
      <c r="L49" s="6">
        <f t="shared" si="4"/>
        <v>1</v>
      </c>
      <c r="M49" s="6">
        <f t="shared" si="4"/>
        <v>1</v>
      </c>
    </row>
    <row r="50" spans="1:13" x14ac:dyDescent="0.25">
      <c r="A50" t="str">
        <f>A34</f>
        <v>опт.</v>
      </c>
      <c r="B50" s="6">
        <f>B33/B34</f>
        <v>2.3150416418423569</v>
      </c>
      <c r="C50" s="6">
        <f t="shared" ref="C50:M50" si="5">C33/C34</f>
        <v>1.0499880555226089</v>
      </c>
      <c r="D50" s="6">
        <f t="shared" si="5"/>
        <v>2.3918686292334774</v>
      </c>
      <c r="E50" s="6">
        <f t="shared" si="5"/>
        <v>2.0475579631635967</v>
      </c>
      <c r="F50" s="6">
        <f t="shared" si="5"/>
        <v>2.3916010904661547</v>
      </c>
      <c r="G50" s="6">
        <f t="shared" si="5"/>
        <v>2.3914689745769264</v>
      </c>
      <c r="H50" s="6">
        <f t="shared" si="5"/>
        <v>2.3899133916531934</v>
      </c>
      <c r="I50" s="6">
        <f t="shared" si="5"/>
        <v>2.3583104731126228</v>
      </c>
      <c r="J50" s="6">
        <f t="shared" si="5"/>
        <v>1.8683726158334311</v>
      </c>
      <c r="K50" s="6">
        <f t="shared" si="5"/>
        <v>1.5725739731087478</v>
      </c>
      <c r="L50" s="6">
        <f t="shared" si="5"/>
        <v>1.685532690332862</v>
      </c>
      <c r="M50" s="6">
        <f t="shared" si="5"/>
        <v>0.45523779919179358</v>
      </c>
    </row>
    <row r="51" spans="1:13" x14ac:dyDescent="0.25">
      <c r="A51" t="str">
        <f>A35</f>
        <v>bitset</v>
      </c>
      <c r="B51" s="6">
        <f>B33/B35</f>
        <v>2.9660088654878303</v>
      </c>
      <c r="C51" s="6">
        <f t="shared" ref="C51:M51" si="6">C33/C35</f>
        <v>1.722272154326739</v>
      </c>
      <c r="D51" s="6">
        <f t="shared" si="6"/>
        <v>3.0112255582341056</v>
      </c>
      <c r="E51" s="6">
        <f t="shared" si="6"/>
        <v>3.0790897123418004</v>
      </c>
      <c r="F51" s="6">
        <f t="shared" si="6"/>
        <v>3.011540147051663</v>
      </c>
      <c r="G51" s="6">
        <f t="shared" si="6"/>
        <v>3.0119708029197083</v>
      </c>
      <c r="H51" s="6">
        <f t="shared" si="6"/>
        <v>3.0132719140454083</v>
      </c>
      <c r="I51" s="6">
        <f t="shared" si="6"/>
        <v>3.0004302925989679</v>
      </c>
      <c r="J51" s="6">
        <f t="shared" si="6"/>
        <v>2.6108690698414061</v>
      </c>
      <c r="K51" s="6">
        <f t="shared" si="6"/>
        <v>2.4328429702753431</v>
      </c>
      <c r="L51" s="6">
        <f t="shared" si="6"/>
        <v>2.4795772127093638</v>
      </c>
      <c r="M51" s="6">
        <f t="shared" si="6"/>
        <v>0.5805748265609515</v>
      </c>
    </row>
    <row r="52" spans="1:13" x14ac:dyDescent="0.25">
      <c r="A52" t="str">
        <f>A36</f>
        <v>буфер.</v>
      </c>
      <c r="B52" s="6">
        <f>B33/B36</f>
        <v>25.867065682802288</v>
      </c>
      <c r="C52" s="6">
        <f t="shared" ref="C52:M52" si="7">C33/C36</f>
        <v>11.153174575007984</v>
      </c>
      <c r="D52" s="6">
        <f t="shared" si="7"/>
        <v>26.865522485335646</v>
      </c>
      <c r="E52" s="6">
        <f t="shared" si="7"/>
        <v>14.999174603174605</v>
      </c>
      <c r="F52" s="6">
        <f t="shared" si="7"/>
        <v>26.849576731061429</v>
      </c>
      <c r="G52" s="6">
        <f t="shared" si="7"/>
        <v>26.847104749512042</v>
      </c>
      <c r="H52" s="6">
        <f t="shared" si="7"/>
        <v>26.802157837837839</v>
      </c>
      <c r="I52" s="6">
        <f t="shared" si="7"/>
        <v>26.110671936758891</v>
      </c>
      <c r="J52" s="6">
        <f t="shared" si="7"/>
        <v>20.561814512591035</v>
      </c>
      <c r="K52" s="6">
        <f t="shared" si="7"/>
        <v>14.713166467814226</v>
      </c>
      <c r="L52" s="6">
        <f t="shared" si="7"/>
        <v>13.376974326595972</v>
      </c>
      <c r="M52" s="6">
        <f t="shared" si="7"/>
        <v>0.43117915501251286</v>
      </c>
    </row>
    <row r="53" spans="1:13" x14ac:dyDescent="0.25">
      <c r="A53" t="str">
        <f>A37</f>
        <v>bitset буф.</v>
      </c>
      <c r="B53" s="6">
        <f>B33/B37</f>
        <v>24.981693519408754</v>
      </c>
      <c r="C53" s="6">
        <f t="shared" ref="C53:M53" si="8">C33/C37</f>
        <v>12.176488821728856</v>
      </c>
      <c r="D53" s="6">
        <f t="shared" si="8"/>
        <v>26.116578669482575</v>
      </c>
      <c r="E53" s="6">
        <f t="shared" si="8"/>
        <v>15.557260454395783</v>
      </c>
      <c r="F53" s="6">
        <f t="shared" si="8"/>
        <v>26.085196119780683</v>
      </c>
      <c r="G53" s="6">
        <f t="shared" si="8"/>
        <v>26.061473684210533</v>
      </c>
      <c r="H53" s="6">
        <f t="shared" si="8"/>
        <v>26.003771764212296</v>
      </c>
      <c r="I53" s="6">
        <f t="shared" si="8"/>
        <v>25.137993190466659</v>
      </c>
      <c r="J53" s="6">
        <f t="shared" si="8"/>
        <v>20.519700918724045</v>
      </c>
      <c r="K53" s="6">
        <f t="shared" si="8"/>
        <v>17.936321153966091</v>
      </c>
      <c r="L53" s="6">
        <f t="shared" si="8"/>
        <v>13.625931466511508</v>
      </c>
      <c r="M53" s="6">
        <f t="shared" si="8"/>
        <v>0.48743551339657182</v>
      </c>
    </row>
    <row r="54" spans="1:13" x14ac:dyDescent="0.25">
      <c r="A54" t="str">
        <f>A46</f>
        <v>SSE</v>
      </c>
      <c r="B54" s="6">
        <f>B33/B46</f>
        <v>9.3858439694239404E-2</v>
      </c>
      <c r="C54" s="6">
        <f t="shared" ref="C54:M54" si="9">C33/C46</f>
        <v>0.1363268620698182</v>
      </c>
      <c r="D54" s="6">
        <f t="shared" si="9"/>
        <v>9.5383765738915272E-2</v>
      </c>
      <c r="E54" s="6">
        <f t="shared" si="9"/>
        <v>0.1210342142205736</v>
      </c>
      <c r="F54" s="6">
        <f t="shared" si="9"/>
        <v>9.5359390637335395E-2</v>
      </c>
      <c r="G54" s="6">
        <f t="shared" si="9"/>
        <v>9.5099967126164933E-2</v>
      </c>
      <c r="H54" s="6">
        <f t="shared" si="9"/>
        <v>9.4757046516865395E-2</v>
      </c>
      <c r="I54" s="6">
        <f t="shared" si="9"/>
        <v>9.2318691236145473E-2</v>
      </c>
      <c r="J54" s="6">
        <f t="shared" si="9"/>
        <v>9.8973589514599572E-2</v>
      </c>
      <c r="K54" s="6">
        <f t="shared" si="9"/>
        <v>9.6980474304287537E-2</v>
      </c>
      <c r="L54" s="6">
        <f t="shared" si="9"/>
        <v>9.6654478465300633E-2</v>
      </c>
      <c r="M54" s="6">
        <f t="shared" si="9"/>
        <v>1.4499999999999997</v>
      </c>
    </row>
    <row r="55" spans="1:13" x14ac:dyDescent="0.25">
      <c r="A55" t="str">
        <f>A47</f>
        <v>AVX</v>
      </c>
      <c r="B55" s="6">
        <f>B33/B47</f>
        <v>9.9470463265370845E-2</v>
      </c>
      <c r="C55" s="6">
        <f t="shared" ref="C55:M55" si="10">C33/C47</f>
        <v>0.10665669774657383</v>
      </c>
      <c r="D55" s="6">
        <f t="shared" si="10"/>
        <v>0.10220287181623285</v>
      </c>
      <c r="E55" s="6">
        <f t="shared" si="10"/>
        <v>0.12823996768989246</v>
      </c>
      <c r="F55" s="6">
        <f t="shared" si="10"/>
        <v>0.1021695045405117</v>
      </c>
      <c r="G55" s="6">
        <f t="shared" si="10"/>
        <v>0.10195423148440097</v>
      </c>
      <c r="H55" s="6">
        <f t="shared" si="10"/>
        <v>0.10156078035986572</v>
      </c>
      <c r="I55" s="6">
        <f t="shared" si="10"/>
        <v>9.8379621464901215E-2</v>
      </c>
      <c r="J55" s="6">
        <f t="shared" si="10"/>
        <v>0.10099114527436222</v>
      </c>
      <c r="K55" s="6">
        <f t="shared" si="10"/>
        <v>9.9418619861298491E-2</v>
      </c>
      <c r="L55" s="6">
        <f t="shared" si="10"/>
        <v>0.1043544004680715</v>
      </c>
      <c r="M55" s="6">
        <f t="shared" si="10"/>
        <v>1.0713240673006585</v>
      </c>
    </row>
  </sheetData>
  <conditionalFormatting sqref="B33:B37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C37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:D37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:E3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:F3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:G3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:H3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:I3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:J37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:K37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:L37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:M37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6:B4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:C4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:D4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6:E4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:F4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6:G47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6:H4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6:I4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6:J4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6:K4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6:L4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6:M4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9:B5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:C5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:D5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9:E5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9:F5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9:G5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9:H5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9:I5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9:J5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9:K5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L5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9:M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A9F4-23E4-420A-BD54-463721BDA1CA}">
  <dimension ref="A1:O28"/>
  <sheetViews>
    <sheetView zoomScale="115" zoomScaleNormal="115" workbookViewId="0">
      <selection activeCell="J24" sqref="J24"/>
    </sheetView>
  </sheetViews>
  <sheetFormatPr defaultRowHeight="15" x14ac:dyDescent="0.25"/>
  <cols>
    <col min="1" max="1" width="16.140625" bestFit="1" customWidth="1"/>
    <col min="2" max="3" width="11" bestFit="1" customWidth="1"/>
    <col min="5" max="5" width="17.42578125" bestFit="1" customWidth="1"/>
    <col min="6" max="6" width="15.85546875" bestFit="1" customWidth="1"/>
    <col min="7" max="7" width="16.42578125" customWidth="1"/>
    <col min="8" max="8" width="18.28515625" bestFit="1" customWidth="1"/>
    <col min="9" max="9" width="21.42578125" customWidth="1"/>
    <col min="10" max="10" width="21.5703125" bestFit="1" customWidth="1"/>
    <col min="11" max="11" width="25.28515625" bestFit="1" customWidth="1"/>
    <col min="12" max="12" width="23" bestFit="1" customWidth="1"/>
    <col min="13" max="13" width="32.140625" bestFit="1" customWidth="1"/>
    <col min="14" max="14" width="23.7109375" bestFit="1" customWidth="1"/>
    <col min="15" max="15" width="21.42578125" bestFit="1" customWidth="1"/>
  </cols>
  <sheetData>
    <row r="1" spans="1:15" x14ac:dyDescent="0.25">
      <c r="B1" t="s">
        <v>58</v>
      </c>
      <c r="C1" t="s">
        <v>71</v>
      </c>
      <c r="D1" t="s">
        <v>34</v>
      </c>
      <c r="E1" t="s">
        <v>73</v>
      </c>
      <c r="F1" t="s">
        <v>62</v>
      </c>
      <c r="G1" t="s">
        <v>64</v>
      </c>
      <c r="H1" t="s">
        <v>68</v>
      </c>
      <c r="I1" t="s">
        <v>69</v>
      </c>
      <c r="J1" t="s">
        <v>63</v>
      </c>
      <c r="K1" t="s">
        <v>66</v>
      </c>
      <c r="L1" t="s">
        <v>67</v>
      </c>
      <c r="M1" t="s">
        <v>72</v>
      </c>
      <c r="N1" t="s">
        <v>65</v>
      </c>
      <c r="O1" t="s">
        <v>70</v>
      </c>
    </row>
    <row r="2" spans="1:15" x14ac:dyDescent="0.25">
      <c r="A2" t="s">
        <v>142</v>
      </c>
      <c r="B2">
        <v>332950000</v>
      </c>
      <c r="C2">
        <v>1522925000</v>
      </c>
      <c r="D2" s="12">
        <v>4.5739999999999998</v>
      </c>
      <c r="E2" s="12">
        <v>120.229</v>
      </c>
      <c r="F2" s="9">
        <v>275000</v>
      </c>
      <c r="G2" s="9">
        <v>1644950000</v>
      </c>
      <c r="H2" s="12">
        <v>1080.125</v>
      </c>
      <c r="I2" s="13">
        <v>2E-3</v>
      </c>
      <c r="J2" s="9">
        <v>4725000</v>
      </c>
      <c r="K2" s="9">
        <v>2675000</v>
      </c>
      <c r="L2" s="9">
        <v>2550000</v>
      </c>
      <c r="M2" s="19">
        <v>100000</v>
      </c>
      <c r="N2" s="9">
        <v>183100000</v>
      </c>
      <c r="O2">
        <v>3925000</v>
      </c>
    </row>
    <row r="3" spans="1:15" x14ac:dyDescent="0.25">
      <c r="A3" t="s">
        <v>141</v>
      </c>
      <c r="B3">
        <v>300600000</v>
      </c>
      <c r="C3">
        <v>1641625000</v>
      </c>
      <c r="D3" s="12">
        <v>5.4610000000000003</v>
      </c>
      <c r="E3" s="12">
        <v>166.63399999999999</v>
      </c>
      <c r="F3" s="9">
        <v>300000</v>
      </c>
      <c r="G3" s="9">
        <v>1664175000</v>
      </c>
      <c r="H3" s="12">
        <v>1013.736</v>
      </c>
      <c r="I3" s="13">
        <v>3.0000000000000001E-3</v>
      </c>
      <c r="J3" s="9">
        <v>4675000</v>
      </c>
      <c r="K3" s="9">
        <v>4525000</v>
      </c>
      <c r="L3" s="9">
        <v>4025000</v>
      </c>
      <c r="M3" s="9">
        <v>26300000</v>
      </c>
      <c r="N3" s="9">
        <v>273550000</v>
      </c>
      <c r="O3">
        <v>3800000</v>
      </c>
    </row>
    <row r="4" spans="1:15" x14ac:dyDescent="0.25">
      <c r="A4" t="s">
        <v>140</v>
      </c>
      <c r="B4">
        <v>117875000</v>
      </c>
      <c r="C4">
        <v>1183650000</v>
      </c>
      <c r="D4" s="12">
        <v>10.042</v>
      </c>
      <c r="E4" s="12">
        <v>124.572</v>
      </c>
      <c r="F4" s="9">
        <v>200000</v>
      </c>
      <c r="G4" s="9">
        <v>1206650000</v>
      </c>
      <c r="H4" s="12">
        <v>1019.431</v>
      </c>
      <c r="I4" s="13">
        <v>3.0000000000000001E-3</v>
      </c>
      <c r="J4" s="9">
        <v>4250000</v>
      </c>
      <c r="K4" s="9">
        <v>3050000</v>
      </c>
      <c r="L4" s="9">
        <v>2625000</v>
      </c>
      <c r="M4" s="9">
        <v>75000</v>
      </c>
      <c r="N4" s="9">
        <v>147450000</v>
      </c>
      <c r="O4">
        <v>4000000</v>
      </c>
    </row>
    <row r="5" spans="1:15" x14ac:dyDescent="0.25">
      <c r="A5" t="s">
        <v>77</v>
      </c>
      <c r="B5">
        <v>24400000</v>
      </c>
      <c r="C5">
        <v>56900000</v>
      </c>
      <c r="D5" s="12">
        <v>2.3319999999999999</v>
      </c>
      <c r="E5" s="12">
        <v>285.589</v>
      </c>
      <c r="F5" s="9">
        <v>75000</v>
      </c>
      <c r="G5" s="9">
        <v>66625000</v>
      </c>
      <c r="H5" s="12">
        <v>1170.914</v>
      </c>
      <c r="I5" s="13">
        <v>2.5000000000000001E-2</v>
      </c>
      <c r="J5" s="9">
        <v>1950000</v>
      </c>
      <c r="K5" s="9">
        <v>1400000</v>
      </c>
      <c r="L5" s="9">
        <v>200000</v>
      </c>
      <c r="M5" s="9">
        <v>25000</v>
      </c>
      <c r="N5" s="9">
        <v>16250000</v>
      </c>
      <c r="O5">
        <v>1600000</v>
      </c>
    </row>
    <row r="6" spans="1:15" x14ac:dyDescent="0.25">
      <c r="A6" t="s">
        <v>78</v>
      </c>
      <c r="B6">
        <v>23925000</v>
      </c>
      <c r="C6">
        <v>55025000</v>
      </c>
      <c r="D6" s="12">
        <v>2.2999999999999998</v>
      </c>
      <c r="E6" s="12">
        <v>282.59899999999999</v>
      </c>
      <c r="F6" s="9">
        <v>75000</v>
      </c>
      <c r="G6" s="9">
        <v>64475000</v>
      </c>
      <c r="H6" s="12">
        <v>1171.74</v>
      </c>
      <c r="I6" s="13">
        <v>2.4E-2</v>
      </c>
      <c r="J6" s="9">
        <v>1925000</v>
      </c>
      <c r="K6" s="9">
        <v>1325000</v>
      </c>
      <c r="L6" s="9">
        <v>200000</v>
      </c>
      <c r="M6" s="9">
        <v>0</v>
      </c>
      <c r="N6" s="9">
        <v>15550000</v>
      </c>
      <c r="O6">
        <v>1700000</v>
      </c>
    </row>
    <row r="7" spans="1:15" x14ac:dyDescent="0.25">
      <c r="A7" t="s">
        <v>142</v>
      </c>
      <c r="F7">
        <f>F2/1000</f>
        <v>275</v>
      </c>
      <c r="G7">
        <f>G2/1000</f>
        <v>1644950</v>
      </c>
      <c r="H7">
        <f>G2/C2*1000</f>
        <v>1080.1254165503881</v>
      </c>
      <c r="I7" s="13"/>
      <c r="J7" s="9">
        <f>J2/1000</f>
        <v>4725</v>
      </c>
      <c r="K7" s="9">
        <f>K2/1000</f>
        <v>2675</v>
      </c>
      <c r="L7" s="9">
        <f>L2/1000</f>
        <v>2550</v>
      </c>
    </row>
    <row r="8" spans="1:15" x14ac:dyDescent="0.25">
      <c r="A8" t="s">
        <v>141</v>
      </c>
      <c r="F8">
        <f t="shared" ref="F8:G11" si="0">F3/1000</f>
        <v>300</v>
      </c>
      <c r="G8">
        <f t="shared" si="0"/>
        <v>1664175</v>
      </c>
      <c r="H8">
        <f t="shared" ref="H8:H11" si="1">G3/C3*1000</f>
        <v>1013.7363892484581</v>
      </c>
      <c r="I8" s="13"/>
      <c r="J8" s="9">
        <f>J3/1000</f>
        <v>4675</v>
      </c>
      <c r="K8" s="9">
        <f t="shared" ref="K8:L11" si="2">K3/1000</f>
        <v>4525</v>
      </c>
      <c r="L8" s="9">
        <f t="shared" si="2"/>
        <v>4025</v>
      </c>
    </row>
    <row r="9" spans="1:15" x14ac:dyDescent="0.25">
      <c r="A9" t="s">
        <v>51</v>
      </c>
      <c r="F9">
        <f t="shared" si="0"/>
        <v>200</v>
      </c>
      <c r="G9">
        <f t="shared" si="0"/>
        <v>1206650</v>
      </c>
      <c r="H9">
        <f t="shared" si="1"/>
        <v>1019.4314197609091</v>
      </c>
      <c r="I9" s="13"/>
      <c r="J9" s="9">
        <f>J4/1000</f>
        <v>4250</v>
      </c>
      <c r="K9" s="9">
        <f t="shared" si="2"/>
        <v>3050</v>
      </c>
      <c r="L9" s="9">
        <f t="shared" si="2"/>
        <v>2625</v>
      </c>
    </row>
    <row r="10" spans="1:15" x14ac:dyDescent="0.25">
      <c r="A10" t="s">
        <v>77</v>
      </c>
      <c r="F10">
        <f t="shared" si="0"/>
        <v>75</v>
      </c>
      <c r="G10">
        <f t="shared" si="0"/>
        <v>66625</v>
      </c>
      <c r="H10">
        <f t="shared" si="1"/>
        <v>1170.91388400703</v>
      </c>
      <c r="I10" s="13"/>
      <c r="J10" s="9">
        <f>J5/1000</f>
        <v>1950</v>
      </c>
      <c r="K10" s="9">
        <f t="shared" si="2"/>
        <v>1400</v>
      </c>
      <c r="L10" s="9">
        <f t="shared" si="2"/>
        <v>200</v>
      </c>
    </row>
    <row r="11" spans="1:15" x14ac:dyDescent="0.25">
      <c r="A11" t="s">
        <v>78</v>
      </c>
      <c r="F11">
        <f t="shared" si="0"/>
        <v>75</v>
      </c>
      <c r="G11">
        <f t="shared" si="0"/>
        <v>64475</v>
      </c>
      <c r="H11">
        <f t="shared" si="1"/>
        <v>1171.7401181281234</v>
      </c>
      <c r="I11" s="13"/>
      <c r="J11" s="9">
        <f>J6/1000</f>
        <v>1925</v>
      </c>
      <c r="K11" s="9">
        <f t="shared" si="2"/>
        <v>1325</v>
      </c>
      <c r="L11" s="9">
        <f t="shared" si="2"/>
        <v>200</v>
      </c>
    </row>
    <row r="12" spans="1:15" x14ac:dyDescent="0.25">
      <c r="A12" t="s">
        <v>74</v>
      </c>
      <c r="B12" s="9">
        <v>1000</v>
      </c>
      <c r="J12" t="s">
        <v>143</v>
      </c>
      <c r="K12" s="9"/>
    </row>
    <row r="13" spans="1:15" x14ac:dyDescent="0.25">
      <c r="A13" t="s">
        <v>75</v>
      </c>
      <c r="B13" s="9">
        <v>4096</v>
      </c>
      <c r="C13" t="str">
        <f>A2</f>
        <v>опт.</v>
      </c>
      <c r="I13" s="13">
        <f>I2</f>
        <v>2E-3</v>
      </c>
      <c r="J13" s="13">
        <f>L2/(J2+L2)</f>
        <v>0.35051546391752575</v>
      </c>
    </row>
    <row r="14" spans="1:15" x14ac:dyDescent="0.25">
      <c r="A14" t="s">
        <v>76</v>
      </c>
      <c r="B14" s="9">
        <v>100</v>
      </c>
      <c r="C14" t="str">
        <f>A3</f>
        <v>наивное</v>
      </c>
      <c r="I14" s="13">
        <f>I3</f>
        <v>3.0000000000000001E-3</v>
      </c>
      <c r="J14" s="13">
        <f>L3/(J3+L3)</f>
        <v>0.46264367816091956</v>
      </c>
    </row>
    <row r="15" spans="1:15" x14ac:dyDescent="0.25">
      <c r="C15" t="str">
        <f>A4</f>
        <v>bitset</v>
      </c>
      <c r="I15" s="13">
        <f>I4</f>
        <v>3.0000000000000001E-3</v>
      </c>
      <c r="J15" s="13">
        <f>L4/(J4+L4)</f>
        <v>0.38181818181818183</v>
      </c>
    </row>
    <row r="16" spans="1:15" x14ac:dyDescent="0.25">
      <c r="C16" t="str">
        <f>A5</f>
        <v>bitset буф.</v>
      </c>
      <c r="I16" s="13">
        <f>I5</f>
        <v>2.5000000000000001E-2</v>
      </c>
      <c r="J16" s="13">
        <f>L5/(J5+L5)</f>
        <v>9.3023255813953487E-2</v>
      </c>
    </row>
    <row r="17" spans="1:12" x14ac:dyDescent="0.25">
      <c r="C17" t="str">
        <f>A6</f>
        <v>буфер.</v>
      </c>
      <c r="I17" s="13">
        <f>I6</f>
        <v>2.4E-2</v>
      </c>
      <c r="J17" s="13">
        <f>L6/(J6+L6)</f>
        <v>9.4117647058823528E-2</v>
      </c>
    </row>
    <row r="18" spans="1:12" x14ac:dyDescent="0.25">
      <c r="I18" s="13"/>
    </row>
    <row r="21" spans="1:12" x14ac:dyDescent="0.25">
      <c r="F21" t="s">
        <v>61</v>
      </c>
      <c r="G21" t="s">
        <v>60</v>
      </c>
    </row>
    <row r="22" spans="1:12" x14ac:dyDescent="0.25">
      <c r="A22" t="s">
        <v>41</v>
      </c>
      <c r="B22" s="9">
        <v>1557625000</v>
      </c>
      <c r="C22" s="9">
        <v>2380400000</v>
      </c>
      <c r="D22" s="6">
        <v>1.528</v>
      </c>
      <c r="E22" s="6">
        <v>93.209000000000003</v>
      </c>
      <c r="F22" s="6">
        <v>0.315</v>
      </c>
      <c r="G22" s="6">
        <v>0.26300000000000001</v>
      </c>
    </row>
    <row r="23" spans="1:12" x14ac:dyDescent="0.25">
      <c r="A23" t="s">
        <v>43</v>
      </c>
      <c r="B23" s="9">
        <v>1318050000</v>
      </c>
      <c r="C23" s="9">
        <v>1001250000</v>
      </c>
      <c r="D23" s="6">
        <v>0.76</v>
      </c>
      <c r="E23" s="6">
        <v>134.85599999999999</v>
      </c>
      <c r="F23" s="6">
        <v>0.22500000000000001</v>
      </c>
      <c r="G23" s="6">
        <v>0.44900000000000001</v>
      </c>
    </row>
    <row r="24" spans="1:12" x14ac:dyDescent="0.25">
      <c r="A24" t="s">
        <v>49</v>
      </c>
      <c r="B24" s="9">
        <v>32350000</v>
      </c>
      <c r="C24" s="9">
        <v>47325000</v>
      </c>
      <c r="D24" s="6">
        <v>1.4630000000000001</v>
      </c>
      <c r="E24" s="6">
        <v>135.23500000000001</v>
      </c>
      <c r="F24" s="6">
        <v>12.678000000000001</v>
      </c>
      <c r="G24" s="6">
        <v>25.356999999999999</v>
      </c>
    </row>
    <row r="25" spans="1:12" x14ac:dyDescent="0.25">
      <c r="A25" t="s">
        <v>51</v>
      </c>
      <c r="B25" s="9">
        <v>11325000</v>
      </c>
      <c r="C25" s="9">
        <v>33400000</v>
      </c>
      <c r="D25" s="6">
        <v>2.9489999999999998</v>
      </c>
      <c r="E25" s="6">
        <v>64.370999999999995</v>
      </c>
      <c r="F25" s="6">
        <v>0</v>
      </c>
      <c r="G25" s="6">
        <v>0</v>
      </c>
    </row>
    <row r="26" spans="1:12" x14ac:dyDescent="0.25">
      <c r="A26" t="s">
        <v>50</v>
      </c>
      <c r="B26" s="9">
        <v>22425000</v>
      </c>
      <c r="C26" s="9">
        <v>40500000</v>
      </c>
      <c r="D26" s="6">
        <v>1.806</v>
      </c>
      <c r="E26" s="6">
        <v>109.876</v>
      </c>
      <c r="F26" s="6">
        <v>0.61699999999999999</v>
      </c>
      <c r="G26" s="6">
        <v>0.61699999999999999</v>
      </c>
    </row>
    <row r="27" spans="1:12" x14ac:dyDescent="0.25">
      <c r="A27" t="s">
        <v>52</v>
      </c>
      <c r="B27" s="9">
        <v>2950000</v>
      </c>
      <c r="C27" s="9">
        <v>3800000</v>
      </c>
      <c r="D27" s="6">
        <v>1.288</v>
      </c>
      <c r="E27" s="6">
        <v>243.42099999999999</v>
      </c>
      <c r="F27" s="6">
        <v>0</v>
      </c>
      <c r="G27" s="6">
        <v>0</v>
      </c>
      <c r="K27" t="s">
        <v>79</v>
      </c>
      <c r="L27" t="s">
        <v>80</v>
      </c>
    </row>
    <row r="28" spans="1:12" x14ac:dyDescent="0.25">
      <c r="A28" t="s">
        <v>53</v>
      </c>
      <c r="B28" s="9">
        <v>3225000</v>
      </c>
      <c r="C28" s="9">
        <v>25000</v>
      </c>
      <c r="D28" s="6">
        <v>8.0000000000000002E-3</v>
      </c>
      <c r="E28" s="12">
        <v>0</v>
      </c>
      <c r="F28" s="12">
        <v>0</v>
      </c>
      <c r="G28" s="12">
        <v>0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A239-958F-4B09-9388-93F4A33635D5}">
  <dimension ref="A1:P21"/>
  <sheetViews>
    <sheetView tabSelected="1" topLeftCell="A7" workbookViewId="0">
      <selection activeCell="L39" sqref="L39"/>
    </sheetView>
  </sheetViews>
  <sheetFormatPr defaultRowHeight="15" x14ac:dyDescent="0.25"/>
  <cols>
    <col min="1" max="1" width="15" customWidth="1"/>
    <col min="2" max="2" width="11" bestFit="1" customWidth="1"/>
    <col min="3" max="3" width="12" bestFit="1" customWidth="1"/>
    <col min="5" max="5" width="12.85546875" bestFit="1" customWidth="1"/>
    <col min="6" max="6" width="15.85546875" bestFit="1" customWidth="1"/>
    <col min="7" max="7" width="16" bestFit="1" customWidth="1"/>
    <col min="8" max="8" width="18.28515625" bestFit="1" customWidth="1"/>
    <col min="9" max="9" width="18" bestFit="1" customWidth="1"/>
    <col min="10" max="10" width="21.5703125" bestFit="1" customWidth="1"/>
    <col min="11" max="11" width="25.28515625" bestFit="1" customWidth="1"/>
    <col min="12" max="12" width="23" bestFit="1" customWidth="1"/>
    <col min="13" max="13" width="32.140625" bestFit="1" customWidth="1"/>
    <col min="14" max="14" width="25.5703125" bestFit="1" customWidth="1"/>
    <col min="15" max="15" width="21.42578125" bestFit="1" customWidth="1"/>
    <col min="16" max="16" width="25.85546875" bestFit="1" customWidth="1"/>
  </cols>
  <sheetData>
    <row r="1" spans="1:16" x14ac:dyDescent="0.25">
      <c r="B1" t="s">
        <v>58</v>
      </c>
      <c r="C1" t="s">
        <v>71</v>
      </c>
      <c r="D1" t="s">
        <v>34</v>
      </c>
      <c r="E1" t="s">
        <v>59</v>
      </c>
      <c r="F1" t="s">
        <v>62</v>
      </c>
      <c r="G1" t="s">
        <v>64</v>
      </c>
      <c r="H1" t="s">
        <v>68</v>
      </c>
      <c r="I1" t="s">
        <v>81</v>
      </c>
      <c r="J1" t="s">
        <v>63</v>
      </c>
      <c r="K1" t="s">
        <v>66</v>
      </c>
      <c r="L1" t="s">
        <v>67</v>
      </c>
      <c r="M1" t="s">
        <v>72</v>
      </c>
      <c r="N1" t="s">
        <v>82</v>
      </c>
      <c r="O1" t="s">
        <v>70</v>
      </c>
      <c r="P1" t="s">
        <v>98</v>
      </c>
    </row>
    <row r="2" spans="1:16" x14ac:dyDescent="0.25">
      <c r="A2" t="s">
        <v>45</v>
      </c>
      <c r="B2">
        <v>5053000000</v>
      </c>
      <c r="C2">
        <v>71320075000</v>
      </c>
      <c r="D2" s="6">
        <v>14.114000000000001</v>
      </c>
      <c r="E2">
        <v>13328450000</v>
      </c>
      <c r="F2">
        <v>26450000</v>
      </c>
      <c r="G2">
        <v>80397125000</v>
      </c>
      <c r="H2" s="6">
        <v>1127.2719999999999</v>
      </c>
      <c r="I2" s="6">
        <v>2.5710000000000002</v>
      </c>
      <c r="J2">
        <v>176750000</v>
      </c>
      <c r="K2">
        <v>183375000</v>
      </c>
      <c r="L2">
        <v>61575000</v>
      </c>
      <c r="M2">
        <v>2825000</v>
      </c>
      <c r="N2" s="6">
        <v>186.88200000000001</v>
      </c>
      <c r="O2">
        <v>165350000</v>
      </c>
      <c r="P2" t="s">
        <v>99</v>
      </c>
    </row>
    <row r="3" spans="1:16" x14ac:dyDescent="0.25">
      <c r="A3" t="s">
        <v>41</v>
      </c>
      <c r="B3">
        <v>679375000</v>
      </c>
      <c r="C3">
        <v>5569975000</v>
      </c>
      <c r="D3" s="6">
        <v>8.1989999999999998</v>
      </c>
      <c r="E3">
        <v>371225000</v>
      </c>
      <c r="F3">
        <v>34575000</v>
      </c>
      <c r="G3">
        <v>7771925000</v>
      </c>
      <c r="H3" s="6">
        <v>1395.325</v>
      </c>
      <c r="I3" s="6">
        <v>341.541</v>
      </c>
      <c r="J3">
        <v>1732100000</v>
      </c>
      <c r="K3">
        <v>1902375000</v>
      </c>
      <c r="L3">
        <v>95125000</v>
      </c>
      <c r="M3">
        <v>325000</v>
      </c>
      <c r="N3" s="6">
        <v>66.647000000000006</v>
      </c>
      <c r="O3">
        <v>267525000</v>
      </c>
      <c r="P3" t="s">
        <v>100</v>
      </c>
    </row>
    <row r="4" spans="1:16" x14ac:dyDescent="0.25">
      <c r="A4" t="s">
        <v>47</v>
      </c>
      <c r="B4">
        <v>493300000</v>
      </c>
      <c r="C4">
        <v>2723725000</v>
      </c>
      <c r="D4" s="6">
        <v>5.5209999999999999</v>
      </c>
      <c r="E4">
        <v>257675000</v>
      </c>
      <c r="F4">
        <v>5225000</v>
      </c>
      <c r="G4">
        <v>2993150000</v>
      </c>
      <c r="H4" s="6">
        <v>1098.9179999999999</v>
      </c>
      <c r="I4" s="6">
        <v>44.607999999999997</v>
      </c>
      <c r="J4">
        <v>160050000</v>
      </c>
      <c r="K4">
        <v>121500000</v>
      </c>
      <c r="L4">
        <v>9575000</v>
      </c>
      <c r="M4">
        <v>125000</v>
      </c>
      <c r="N4" s="6">
        <v>94.603999999999999</v>
      </c>
      <c r="O4">
        <v>127775000</v>
      </c>
      <c r="P4" t="s">
        <v>101</v>
      </c>
    </row>
    <row r="5" spans="1:16" x14ac:dyDescent="0.25">
      <c r="A5" t="s">
        <v>46</v>
      </c>
      <c r="B5">
        <v>496450000</v>
      </c>
      <c r="C5">
        <v>2675300000</v>
      </c>
      <c r="D5" s="6">
        <v>5.3890000000000002</v>
      </c>
      <c r="E5">
        <v>254225000</v>
      </c>
      <c r="F5">
        <v>4975000</v>
      </c>
      <c r="G5">
        <v>2945825000</v>
      </c>
      <c r="H5" s="6">
        <v>1101.1199999999999</v>
      </c>
      <c r="I5" s="6">
        <v>44.219000000000001</v>
      </c>
      <c r="J5">
        <v>162200000</v>
      </c>
      <c r="K5">
        <v>118300000</v>
      </c>
      <c r="L5">
        <v>9400000</v>
      </c>
      <c r="M5">
        <v>175000</v>
      </c>
      <c r="N5" s="6">
        <v>95.027000000000001</v>
      </c>
      <c r="O5">
        <v>131450000</v>
      </c>
      <c r="P5" t="s">
        <v>102</v>
      </c>
    </row>
    <row r="6" spans="1:16" x14ac:dyDescent="0.25">
      <c r="A6" t="s">
        <v>42</v>
      </c>
      <c r="B6">
        <v>430575000</v>
      </c>
      <c r="C6">
        <v>2663150000</v>
      </c>
      <c r="D6" s="6">
        <v>6.1849999999999996</v>
      </c>
      <c r="E6">
        <v>176925000</v>
      </c>
      <c r="F6">
        <v>3425000</v>
      </c>
      <c r="G6">
        <v>2755225000</v>
      </c>
      <c r="H6" s="6">
        <v>1034.5740000000001</v>
      </c>
      <c r="I6" s="6">
        <v>37.456000000000003</v>
      </c>
      <c r="J6">
        <v>160525000</v>
      </c>
      <c r="K6">
        <v>99750000</v>
      </c>
      <c r="L6">
        <v>7450000</v>
      </c>
      <c r="M6">
        <v>125000</v>
      </c>
      <c r="N6" s="6">
        <v>66.433999999999997</v>
      </c>
      <c r="O6">
        <v>143000000</v>
      </c>
      <c r="P6" t="s">
        <v>103</v>
      </c>
    </row>
    <row r="7" spans="1:16" x14ac:dyDescent="0.25">
      <c r="A7" t="s">
        <v>43</v>
      </c>
      <c r="B7">
        <v>160700000</v>
      </c>
      <c r="C7">
        <v>923700000</v>
      </c>
      <c r="D7" s="6">
        <v>5.7480000000000002</v>
      </c>
      <c r="E7">
        <v>85925000</v>
      </c>
      <c r="F7">
        <v>3425000</v>
      </c>
      <c r="G7">
        <v>1004125000</v>
      </c>
      <c r="H7" s="6">
        <v>1087.068</v>
      </c>
      <c r="I7" s="6">
        <v>91.316999999999993</v>
      </c>
      <c r="J7">
        <v>145900000</v>
      </c>
      <c r="K7">
        <v>84350000</v>
      </c>
      <c r="L7">
        <v>2975000</v>
      </c>
      <c r="M7">
        <v>50000</v>
      </c>
      <c r="N7" s="6">
        <v>93.022999999999996</v>
      </c>
      <c r="O7">
        <v>15075000</v>
      </c>
      <c r="P7" t="s">
        <v>104</v>
      </c>
    </row>
    <row r="9" spans="1:16" x14ac:dyDescent="0.25">
      <c r="A9" t="str">
        <f t="shared" ref="A9:A14" si="0">A2</f>
        <v>Наивный</v>
      </c>
      <c r="B9">
        <f t="shared" ref="B9:C14" si="1">B2/1000</f>
        <v>5053000</v>
      </c>
      <c r="C9">
        <f t="shared" si="1"/>
        <v>71320075</v>
      </c>
      <c r="D9" s="6"/>
      <c r="E9">
        <f>E2/1000</f>
        <v>13328450</v>
      </c>
      <c r="F9">
        <f>F2/1000</f>
        <v>26450</v>
      </c>
      <c r="G9">
        <f>G2/1000</f>
        <v>80397125</v>
      </c>
      <c r="H9">
        <f>G2/C2 * 1000</f>
        <v>1127.2720198345276</v>
      </c>
      <c r="J9">
        <f>J2/1000</f>
        <v>176750</v>
      </c>
      <c r="K9">
        <f>K2/1000</f>
        <v>183375</v>
      </c>
      <c r="L9">
        <f>L2/1000</f>
        <v>61575</v>
      </c>
      <c r="M9">
        <f>M2/1000</f>
        <v>2825</v>
      </c>
      <c r="O9">
        <f t="shared" ref="O9:O14" si="2">O2/1000</f>
        <v>165350</v>
      </c>
    </row>
    <row r="10" spans="1:16" x14ac:dyDescent="0.25">
      <c r="A10" t="str">
        <f t="shared" si="0"/>
        <v>SSE</v>
      </c>
      <c r="B10">
        <f t="shared" si="1"/>
        <v>679375</v>
      </c>
      <c r="C10">
        <f t="shared" si="1"/>
        <v>5569975</v>
      </c>
      <c r="D10" s="6"/>
      <c r="E10">
        <f>E3/1000</f>
        <v>371225</v>
      </c>
      <c r="F10">
        <f t="shared" ref="F10:G14" si="3">F3/1000</f>
        <v>34575</v>
      </c>
      <c r="G10">
        <f t="shared" si="3"/>
        <v>7771925</v>
      </c>
      <c r="J10">
        <f t="shared" ref="J10:M14" si="4">J3/1000</f>
        <v>1732100</v>
      </c>
      <c r="K10">
        <f t="shared" si="4"/>
        <v>1902375</v>
      </c>
      <c r="L10">
        <f t="shared" si="4"/>
        <v>95125</v>
      </c>
      <c r="M10">
        <f t="shared" si="4"/>
        <v>325</v>
      </c>
      <c r="O10">
        <f t="shared" si="2"/>
        <v>267525</v>
      </c>
    </row>
    <row r="11" spans="1:16" x14ac:dyDescent="0.25">
      <c r="A11" t="str">
        <f t="shared" si="0"/>
        <v>Скалярный опт.</v>
      </c>
      <c r="B11">
        <f t="shared" si="1"/>
        <v>493300</v>
      </c>
      <c r="C11">
        <f t="shared" si="1"/>
        <v>2723725</v>
      </c>
      <c r="D11" s="6"/>
      <c r="E11">
        <f>E4/1000</f>
        <v>257675</v>
      </c>
      <c r="F11">
        <f t="shared" si="3"/>
        <v>5225</v>
      </c>
      <c r="G11">
        <f t="shared" si="3"/>
        <v>2993150</v>
      </c>
      <c r="J11">
        <f t="shared" si="4"/>
        <v>160050</v>
      </c>
      <c r="K11">
        <f t="shared" si="4"/>
        <v>121500</v>
      </c>
      <c r="L11">
        <f t="shared" si="4"/>
        <v>9575</v>
      </c>
      <c r="M11">
        <f t="shared" si="4"/>
        <v>125</v>
      </c>
      <c r="O11">
        <f t="shared" si="2"/>
        <v>127775</v>
      </c>
    </row>
    <row r="12" spans="1:16" x14ac:dyDescent="0.25">
      <c r="A12" t="str">
        <f t="shared" si="0"/>
        <v>Скалярный</v>
      </c>
      <c r="B12">
        <f t="shared" si="1"/>
        <v>496450</v>
      </c>
      <c r="C12">
        <f t="shared" si="1"/>
        <v>2675300</v>
      </c>
      <c r="D12" s="6"/>
      <c r="E12">
        <f>E5/1000</f>
        <v>254225</v>
      </c>
      <c r="F12">
        <f t="shared" si="3"/>
        <v>4975</v>
      </c>
      <c r="G12">
        <f t="shared" si="3"/>
        <v>2945825</v>
      </c>
      <c r="J12">
        <f t="shared" si="4"/>
        <v>162200</v>
      </c>
      <c r="K12">
        <f t="shared" si="4"/>
        <v>118300</v>
      </c>
      <c r="L12">
        <f t="shared" si="4"/>
        <v>9400</v>
      </c>
      <c r="M12">
        <f t="shared" si="4"/>
        <v>175</v>
      </c>
      <c r="O12">
        <f t="shared" si="2"/>
        <v>131450</v>
      </c>
    </row>
    <row r="13" spans="1:16" x14ac:dyDescent="0.25">
      <c r="A13" t="str">
        <f t="shared" si="0"/>
        <v>SSE 2</v>
      </c>
      <c r="B13">
        <f t="shared" si="1"/>
        <v>430575</v>
      </c>
      <c r="C13">
        <f t="shared" si="1"/>
        <v>2663150</v>
      </c>
      <c r="D13" s="6"/>
      <c r="E13">
        <f>E6/1000</f>
        <v>176925</v>
      </c>
      <c r="F13">
        <f t="shared" si="3"/>
        <v>3425</v>
      </c>
      <c r="G13">
        <f t="shared" si="3"/>
        <v>2755225</v>
      </c>
      <c r="J13">
        <f t="shared" si="4"/>
        <v>160525</v>
      </c>
      <c r="K13">
        <f t="shared" si="4"/>
        <v>99750</v>
      </c>
      <c r="L13">
        <f t="shared" si="4"/>
        <v>7450</v>
      </c>
      <c r="M13">
        <f t="shared" si="4"/>
        <v>125</v>
      </c>
      <c r="O13">
        <f t="shared" si="2"/>
        <v>143000</v>
      </c>
    </row>
    <row r="14" spans="1:16" x14ac:dyDescent="0.25">
      <c r="A14" t="str">
        <f t="shared" si="0"/>
        <v>AVX</v>
      </c>
      <c r="B14">
        <f t="shared" si="1"/>
        <v>160700</v>
      </c>
      <c r="C14">
        <f t="shared" si="1"/>
        <v>923700</v>
      </c>
      <c r="D14" s="6"/>
      <c r="E14">
        <f>E7/1000</f>
        <v>85925</v>
      </c>
      <c r="F14">
        <f t="shared" si="3"/>
        <v>3425</v>
      </c>
      <c r="G14">
        <f t="shared" si="3"/>
        <v>1004125</v>
      </c>
      <c r="J14">
        <f t="shared" si="4"/>
        <v>145900</v>
      </c>
      <c r="K14">
        <f t="shared" si="4"/>
        <v>84350</v>
      </c>
      <c r="L14">
        <f t="shared" si="4"/>
        <v>2975</v>
      </c>
      <c r="M14">
        <f t="shared" si="4"/>
        <v>50</v>
      </c>
      <c r="O14">
        <f t="shared" si="2"/>
        <v>15075</v>
      </c>
    </row>
    <row r="15" spans="1:16" x14ac:dyDescent="0.25">
      <c r="A15" t="str">
        <f t="shared" ref="A15:A20" si="5">A9</f>
        <v>Наивный</v>
      </c>
      <c r="E15" s="13">
        <f t="shared" ref="E15:E20" si="6">E9/C9</f>
        <v>0.18688216466401641</v>
      </c>
      <c r="F15" s="12">
        <f t="shared" ref="F15:F20" si="7">F2/C2*1000</f>
        <v>0.37086332284423423</v>
      </c>
      <c r="J15" s="12">
        <f t="shared" ref="J15:J20" si="8">J2/C2*1000</f>
        <v>2.478264359649089</v>
      </c>
      <c r="K15" s="12">
        <f t="shared" ref="K15:K20" si="9">K2/C2*1000</f>
        <v>2.5711554565807737</v>
      </c>
      <c r="L15" s="12">
        <f t="shared" ref="L15:L20" si="10">L2/C2*1000</f>
        <v>0.86336140280278728</v>
      </c>
    </row>
    <row r="16" spans="1:16" x14ac:dyDescent="0.25">
      <c r="A16" t="str">
        <f t="shared" si="5"/>
        <v>SSE</v>
      </c>
      <c r="E16" s="13">
        <f t="shared" si="6"/>
        <v>6.6647516371258403E-2</v>
      </c>
      <c r="F16" s="12">
        <f t="shared" si="7"/>
        <v>6.2073887225705677</v>
      </c>
      <c r="J16" s="12">
        <f t="shared" si="8"/>
        <v>310.9708750936943</v>
      </c>
      <c r="K16" s="12">
        <f t="shared" si="9"/>
        <v>341.54103025597061</v>
      </c>
      <c r="L16" s="12">
        <f t="shared" si="10"/>
        <v>17.078173600420108</v>
      </c>
    </row>
    <row r="17" spans="1:12" x14ac:dyDescent="0.25">
      <c r="A17" t="str">
        <f t="shared" si="5"/>
        <v>Скалярный опт.</v>
      </c>
      <c r="E17" s="13">
        <f t="shared" si="6"/>
        <v>9.460389723632158E-2</v>
      </c>
      <c r="F17" s="12">
        <f t="shared" si="7"/>
        <v>1.9183287593277589</v>
      </c>
      <c r="J17" s="12">
        <f t="shared" si="8"/>
        <v>58.761438838355559</v>
      </c>
      <c r="K17" s="12">
        <f t="shared" si="9"/>
        <v>44.60802760924836</v>
      </c>
      <c r="L17" s="12">
        <f t="shared" si="10"/>
        <v>3.5154062910168977</v>
      </c>
    </row>
    <row r="18" spans="1:12" x14ac:dyDescent="0.25">
      <c r="A18" t="str">
        <f t="shared" si="5"/>
        <v>Скалярный</v>
      </c>
      <c r="E18" s="13">
        <f t="shared" si="6"/>
        <v>9.5026725974657042E-2</v>
      </c>
      <c r="F18" s="12">
        <f t="shared" si="7"/>
        <v>1.8596045303330468</v>
      </c>
      <c r="J18" s="12">
        <f t="shared" si="8"/>
        <v>60.628714536687475</v>
      </c>
      <c r="K18" s="12">
        <f t="shared" si="9"/>
        <v>44.21933988711546</v>
      </c>
      <c r="L18" s="12">
        <f t="shared" si="10"/>
        <v>3.5136246402272642</v>
      </c>
    </row>
    <row r="19" spans="1:12" x14ac:dyDescent="0.25">
      <c r="A19" t="str">
        <f t="shared" si="5"/>
        <v>SSE 2</v>
      </c>
      <c r="E19" s="13">
        <f t="shared" si="6"/>
        <v>6.6434485477723751E-2</v>
      </c>
      <c r="F19" s="12">
        <f t="shared" si="7"/>
        <v>1.2860710061393463</v>
      </c>
      <c r="J19" s="12">
        <f t="shared" si="8"/>
        <v>60.276364455625853</v>
      </c>
      <c r="K19" s="12">
        <f t="shared" si="9"/>
        <v>37.4556446313576</v>
      </c>
      <c r="L19" s="12">
        <f t="shared" si="10"/>
        <v>2.7974391228432496</v>
      </c>
    </row>
    <row r="20" spans="1:12" x14ac:dyDescent="0.25">
      <c r="A20" t="str">
        <f t="shared" si="5"/>
        <v>AVX</v>
      </c>
      <c r="E20" s="13">
        <f t="shared" si="6"/>
        <v>9.3022626393850824E-2</v>
      </c>
      <c r="F20" s="12">
        <f t="shared" si="7"/>
        <v>3.7079138248349031</v>
      </c>
      <c r="J20" s="12">
        <f t="shared" si="8"/>
        <v>157.9517159250839</v>
      </c>
      <c r="K20" s="12">
        <f t="shared" si="9"/>
        <v>91.317527335715056</v>
      </c>
      <c r="L20" s="12">
        <f t="shared" si="10"/>
        <v>3.2207426653675437</v>
      </c>
    </row>
    <row r="21" spans="1:12" x14ac:dyDescent="0.25">
      <c r="J21" t="s">
        <v>139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F27A-D3AF-4A32-B09F-50252B5180CD}">
  <dimension ref="A1:N73"/>
  <sheetViews>
    <sheetView topLeftCell="A49" zoomScale="115" zoomScaleNormal="115" workbookViewId="0">
      <selection activeCell="F109" sqref="F109"/>
    </sheetView>
  </sheetViews>
  <sheetFormatPr defaultRowHeight="15" x14ac:dyDescent="0.25"/>
  <cols>
    <col min="1" max="1" width="15.42578125" bestFit="1" customWidth="1"/>
    <col min="2" max="2" width="13.28515625" bestFit="1" customWidth="1"/>
    <col min="3" max="3" width="12.140625" customWidth="1"/>
    <col min="4" max="4" width="12.7109375" bestFit="1" customWidth="1"/>
    <col min="5" max="12" width="14" bestFit="1" customWidth="1"/>
    <col min="13" max="13" width="8.5703125" customWidth="1"/>
    <col min="14" max="15" width="12.140625" bestFit="1" customWidth="1"/>
  </cols>
  <sheetData>
    <row r="1" spans="1:12" x14ac:dyDescent="0.25">
      <c r="B1" t="s">
        <v>105</v>
      </c>
      <c r="C1" t="s">
        <v>37</v>
      </c>
      <c r="D1" t="s">
        <v>83</v>
      </c>
      <c r="E1" t="s">
        <v>84</v>
      </c>
      <c r="F1" t="s">
        <v>91</v>
      </c>
      <c r="G1" t="s">
        <v>98</v>
      </c>
      <c r="H1" t="s">
        <v>62</v>
      </c>
      <c r="I1" t="s">
        <v>106</v>
      </c>
      <c r="J1" t="s">
        <v>107</v>
      </c>
      <c r="K1" t="s">
        <v>108</v>
      </c>
      <c r="L1" t="s">
        <v>109</v>
      </c>
    </row>
    <row r="2" spans="1:12" x14ac:dyDescent="0.25">
      <c r="A2" t="s">
        <v>41</v>
      </c>
      <c r="B2">
        <v>1898425000</v>
      </c>
      <c r="C2">
        <v>839175000</v>
      </c>
      <c r="D2">
        <v>1871575000</v>
      </c>
      <c r="E2" t="s">
        <v>85</v>
      </c>
      <c r="F2" t="s">
        <v>92</v>
      </c>
      <c r="G2" t="s">
        <v>99</v>
      </c>
      <c r="H2">
        <v>22100000</v>
      </c>
      <c r="I2">
        <v>300000</v>
      </c>
      <c r="J2">
        <v>1525825000</v>
      </c>
      <c r="K2">
        <v>316375000</v>
      </c>
      <c r="L2" t="s">
        <v>110</v>
      </c>
    </row>
    <row r="3" spans="1:12" x14ac:dyDescent="0.25">
      <c r="A3" t="s">
        <v>45</v>
      </c>
      <c r="B3">
        <v>391750000</v>
      </c>
      <c r="C3">
        <v>428775000</v>
      </c>
      <c r="D3">
        <v>42834450000</v>
      </c>
      <c r="E3" t="s">
        <v>86</v>
      </c>
      <c r="F3" t="s">
        <v>93</v>
      </c>
      <c r="G3" t="s">
        <v>100</v>
      </c>
      <c r="H3">
        <v>9575000</v>
      </c>
      <c r="I3">
        <v>5175000</v>
      </c>
      <c r="J3">
        <v>169650000</v>
      </c>
      <c r="K3">
        <v>3100000</v>
      </c>
      <c r="L3" t="s">
        <v>111</v>
      </c>
    </row>
    <row r="4" spans="1:12" x14ac:dyDescent="0.25">
      <c r="A4" t="s">
        <v>47</v>
      </c>
      <c r="B4">
        <v>182150000</v>
      </c>
      <c r="C4">
        <v>290925000</v>
      </c>
      <c r="D4">
        <v>1920525000</v>
      </c>
      <c r="E4" t="s">
        <v>87</v>
      </c>
      <c r="F4" t="s">
        <v>94</v>
      </c>
      <c r="G4" t="s">
        <v>101</v>
      </c>
      <c r="H4">
        <v>6625000</v>
      </c>
      <c r="I4">
        <v>250000</v>
      </c>
      <c r="J4">
        <v>169325000</v>
      </c>
      <c r="K4">
        <v>4500000</v>
      </c>
      <c r="L4" t="s">
        <v>112</v>
      </c>
    </row>
    <row r="5" spans="1:12" x14ac:dyDescent="0.25">
      <c r="A5" t="s">
        <v>46</v>
      </c>
      <c r="B5">
        <v>183175000</v>
      </c>
      <c r="C5">
        <v>279775000</v>
      </c>
      <c r="D5">
        <v>1833900000</v>
      </c>
      <c r="E5" t="s">
        <v>88</v>
      </c>
      <c r="F5" t="s">
        <v>95</v>
      </c>
      <c r="G5" t="s">
        <v>102</v>
      </c>
      <c r="H5">
        <v>6275000</v>
      </c>
      <c r="I5">
        <v>250000</v>
      </c>
      <c r="J5">
        <v>170750000</v>
      </c>
      <c r="K5">
        <v>4475000</v>
      </c>
      <c r="L5" t="s">
        <v>113</v>
      </c>
    </row>
    <row r="6" spans="1:12" x14ac:dyDescent="0.25">
      <c r="A6" t="s">
        <v>42</v>
      </c>
      <c r="B6">
        <v>167550000</v>
      </c>
      <c r="C6">
        <v>14400000</v>
      </c>
      <c r="D6">
        <v>986200000</v>
      </c>
      <c r="E6" t="s">
        <v>89</v>
      </c>
      <c r="F6" t="s">
        <v>96</v>
      </c>
      <c r="G6" t="s">
        <v>103</v>
      </c>
      <c r="H6">
        <v>3625000</v>
      </c>
      <c r="I6">
        <v>150000</v>
      </c>
      <c r="J6">
        <v>158750000</v>
      </c>
      <c r="K6">
        <v>2950000</v>
      </c>
      <c r="L6" t="s">
        <v>114</v>
      </c>
    </row>
    <row r="7" spans="1:12" x14ac:dyDescent="0.25">
      <c r="A7" t="s">
        <v>43</v>
      </c>
      <c r="B7">
        <v>156975000</v>
      </c>
      <c r="C7">
        <v>6900000</v>
      </c>
      <c r="D7">
        <v>555725000</v>
      </c>
      <c r="E7" t="s">
        <v>90</v>
      </c>
      <c r="F7" t="s">
        <v>97</v>
      </c>
      <c r="G7" t="s">
        <v>104</v>
      </c>
      <c r="H7">
        <v>1675000</v>
      </c>
      <c r="I7">
        <v>75000</v>
      </c>
      <c r="J7">
        <v>149550000</v>
      </c>
      <c r="K7">
        <v>5475000</v>
      </c>
      <c r="L7" t="s">
        <v>115</v>
      </c>
    </row>
    <row r="11" spans="1:12" x14ac:dyDescent="0.25">
      <c r="C11" t="s">
        <v>116</v>
      </c>
    </row>
    <row r="17" spans="1:14" x14ac:dyDescent="0.25">
      <c r="A17" t="s">
        <v>131</v>
      </c>
      <c r="B17" s="1" t="s">
        <v>126</v>
      </c>
      <c r="C17" s="1" t="s">
        <v>54</v>
      </c>
      <c r="D17" s="1" t="s">
        <v>9</v>
      </c>
      <c r="E17" s="1" t="s">
        <v>10</v>
      </c>
      <c r="F17" s="13" t="s">
        <v>133</v>
      </c>
      <c r="G17" s="21" t="s">
        <v>137</v>
      </c>
      <c r="H17" s="2" t="s">
        <v>13</v>
      </c>
      <c r="I17" s="2" t="s">
        <v>14</v>
      </c>
      <c r="J17" s="2" t="s">
        <v>15</v>
      </c>
      <c r="K17" s="21" t="s">
        <v>138</v>
      </c>
      <c r="L17" s="13" t="s">
        <v>134</v>
      </c>
      <c r="M17" s="1" t="s">
        <v>127</v>
      </c>
      <c r="N17" t="s">
        <v>132</v>
      </c>
    </row>
    <row r="18" spans="1:14" x14ac:dyDescent="0.25">
      <c r="A18" s="1" t="s">
        <v>117</v>
      </c>
      <c r="B18" s="1" t="s">
        <v>126</v>
      </c>
      <c r="C18" s="1" t="s">
        <v>54</v>
      </c>
      <c r="D18" s="1" t="s">
        <v>9</v>
      </c>
      <c r="E18" s="1" t="s">
        <v>10</v>
      </c>
      <c r="F18" s="13">
        <v>1E-4</v>
      </c>
      <c r="G18" s="13">
        <v>1E-3</v>
      </c>
      <c r="H18" s="2">
        <v>0.01</v>
      </c>
      <c r="I18" s="1" t="s">
        <v>118</v>
      </c>
      <c r="J18" s="1" t="s">
        <v>119</v>
      </c>
      <c r="K18" s="13">
        <v>0.999</v>
      </c>
      <c r="L18" s="13">
        <v>0.99990000000000001</v>
      </c>
      <c r="M18" s="1" t="s">
        <v>127</v>
      </c>
      <c r="N18" s="1" t="s">
        <v>5</v>
      </c>
    </row>
    <row r="19" spans="1:14" x14ac:dyDescent="0.25">
      <c r="A19" s="1" t="s">
        <v>120</v>
      </c>
      <c r="B19" s="12">
        <v>1435596.4</v>
      </c>
      <c r="C19" s="12">
        <v>116973.079</v>
      </c>
      <c r="D19" s="12">
        <v>1359200</v>
      </c>
      <c r="E19" s="12">
        <v>2139400</v>
      </c>
      <c r="F19" s="12">
        <v>1359429.51</v>
      </c>
      <c r="G19" s="12">
        <v>1361497.1</v>
      </c>
      <c r="H19" s="12">
        <v>1365199</v>
      </c>
      <c r="I19" s="12">
        <v>1389700</v>
      </c>
      <c r="J19" s="12">
        <v>1943329</v>
      </c>
      <c r="K19" s="12">
        <v>2106732.7000000002</v>
      </c>
      <c r="L19" s="12">
        <v>2136133.87</v>
      </c>
      <c r="M19" s="12">
        <v>8.15</v>
      </c>
      <c r="N19" s="1" t="s">
        <v>5</v>
      </c>
    </row>
    <row r="20" spans="1:14" x14ac:dyDescent="0.25">
      <c r="A20" s="1" t="s">
        <v>121</v>
      </c>
      <c r="B20" s="12">
        <v>36436955.899999999</v>
      </c>
      <c r="C20" s="12">
        <v>770109.17799999996</v>
      </c>
      <c r="D20" s="12">
        <v>35236800</v>
      </c>
      <c r="E20" s="12">
        <v>41683400</v>
      </c>
      <c r="F20" s="12">
        <v>35238468.329999998</v>
      </c>
      <c r="G20" s="12">
        <v>35253483.299999997</v>
      </c>
      <c r="H20" s="12">
        <v>35342261</v>
      </c>
      <c r="I20" s="12">
        <v>36319300</v>
      </c>
      <c r="J20" s="12">
        <v>39193095</v>
      </c>
      <c r="K20" s="12">
        <v>40661423</v>
      </c>
      <c r="L20" s="12">
        <v>41581202.299999997</v>
      </c>
      <c r="M20" s="12">
        <v>2.11</v>
      </c>
      <c r="N20" s="1" t="s">
        <v>5</v>
      </c>
    </row>
    <row r="21" spans="1:14" x14ac:dyDescent="0.25">
      <c r="A21" s="1" t="s">
        <v>122</v>
      </c>
      <c r="B21" s="12">
        <v>1415046.9</v>
      </c>
      <c r="C21" s="12">
        <v>75857.751999999993</v>
      </c>
      <c r="D21" s="12">
        <v>1350600</v>
      </c>
      <c r="E21" s="12">
        <v>1796800</v>
      </c>
      <c r="F21" s="12">
        <v>1350609.99</v>
      </c>
      <c r="G21" s="12">
        <v>1350699.9</v>
      </c>
      <c r="H21" s="12">
        <v>1353798</v>
      </c>
      <c r="I21" s="12">
        <v>1380000</v>
      </c>
      <c r="J21" s="12">
        <v>1655314</v>
      </c>
      <c r="K21" s="12">
        <v>1731165.7</v>
      </c>
      <c r="L21" s="12">
        <v>1790236.57</v>
      </c>
      <c r="M21" s="12">
        <v>5.36</v>
      </c>
      <c r="N21" s="1" t="s">
        <v>5</v>
      </c>
    </row>
    <row r="22" spans="1:14" x14ac:dyDescent="0.25">
      <c r="A22" s="1" t="s">
        <v>123</v>
      </c>
      <c r="B22" s="12">
        <v>11628043.300000001</v>
      </c>
      <c r="C22" s="12">
        <v>221387.71100000001</v>
      </c>
      <c r="D22" s="12">
        <v>11327700</v>
      </c>
      <c r="E22" s="12">
        <v>12975900</v>
      </c>
      <c r="F22" s="12">
        <v>11329128.57</v>
      </c>
      <c r="G22" s="12">
        <v>11341985.699999999</v>
      </c>
      <c r="H22" s="12">
        <v>11375700</v>
      </c>
      <c r="I22" s="12">
        <v>11583450</v>
      </c>
      <c r="J22" s="12">
        <v>12334037</v>
      </c>
      <c r="K22" s="12">
        <v>12549426.9</v>
      </c>
      <c r="L22" s="12">
        <v>12933252.689999999</v>
      </c>
      <c r="M22" s="12">
        <v>1.9</v>
      </c>
      <c r="N22" s="1" t="s">
        <v>5</v>
      </c>
    </row>
    <row r="23" spans="1:14" x14ac:dyDescent="0.25">
      <c r="A23" s="1" t="s">
        <v>124</v>
      </c>
      <c r="B23" s="12">
        <v>1061943.8999999999</v>
      </c>
      <c r="C23" s="12">
        <v>51030.696000000004</v>
      </c>
      <c r="D23" s="12">
        <v>1028300</v>
      </c>
      <c r="E23" s="12">
        <v>1480800</v>
      </c>
      <c r="F23" s="12">
        <v>1028409.89</v>
      </c>
      <c r="G23" s="12">
        <v>1029398.9</v>
      </c>
      <c r="H23" s="12">
        <v>1032300</v>
      </c>
      <c r="I23" s="12">
        <v>1045400</v>
      </c>
      <c r="J23" s="12">
        <v>1311235</v>
      </c>
      <c r="K23" s="12">
        <v>1432448.4</v>
      </c>
      <c r="L23" s="12">
        <v>1475964.84</v>
      </c>
      <c r="M23" s="12">
        <v>4.8099999999999996</v>
      </c>
      <c r="N23" s="1" t="s">
        <v>5</v>
      </c>
    </row>
    <row r="24" spans="1:14" x14ac:dyDescent="0.25">
      <c r="A24" s="1" t="s">
        <v>125</v>
      </c>
      <c r="B24" s="12">
        <v>424582.7</v>
      </c>
      <c r="C24" s="12">
        <v>24984.442999999999</v>
      </c>
      <c r="D24" s="12">
        <v>409400</v>
      </c>
      <c r="E24" s="12">
        <v>661400</v>
      </c>
      <c r="F24" s="12">
        <v>409419.98</v>
      </c>
      <c r="G24" s="12">
        <v>409599.8</v>
      </c>
      <c r="H24" s="12">
        <v>410300</v>
      </c>
      <c r="I24" s="12">
        <v>417200</v>
      </c>
      <c r="J24" s="12">
        <v>524333</v>
      </c>
      <c r="K24" s="12">
        <v>652309.1</v>
      </c>
      <c r="L24" s="12">
        <v>660490.91</v>
      </c>
      <c r="M24" s="12">
        <v>5.88</v>
      </c>
      <c r="N24" s="1" t="s">
        <v>5</v>
      </c>
    </row>
    <row r="25" spans="1:14" x14ac:dyDescent="0.25">
      <c r="A25" s="1"/>
      <c r="B25" s="12" t="s">
        <v>5</v>
      </c>
      <c r="C25" s="12" t="s">
        <v>5</v>
      </c>
      <c r="D25" s="12" t="s">
        <v>5</v>
      </c>
      <c r="E25" s="12" t="s">
        <v>5</v>
      </c>
      <c r="F25" s="12" t="s">
        <v>5</v>
      </c>
      <c r="G25" s="12" t="s">
        <v>5</v>
      </c>
      <c r="H25" s="12" t="s">
        <v>5</v>
      </c>
      <c r="I25" s="12" t="s">
        <v>5</v>
      </c>
      <c r="J25" s="12" t="s">
        <v>5</v>
      </c>
      <c r="K25" s="12" t="s">
        <v>5</v>
      </c>
      <c r="L25" s="12" t="s">
        <v>5</v>
      </c>
      <c r="M25" s="12" t="s">
        <v>5</v>
      </c>
      <c r="N25" s="1" t="s">
        <v>5</v>
      </c>
    </row>
    <row r="26" spans="1:14" x14ac:dyDescent="0.25">
      <c r="A26" s="1" t="s">
        <v>120</v>
      </c>
      <c r="B26" s="12">
        <v>1422381.7</v>
      </c>
      <c r="C26" s="12">
        <v>116334.06200000001</v>
      </c>
      <c r="D26" s="12">
        <v>1351600</v>
      </c>
      <c r="E26" s="12">
        <v>2087000</v>
      </c>
      <c r="F26" s="12">
        <v>1351619.98</v>
      </c>
      <c r="G26" s="12">
        <v>1351799.8</v>
      </c>
      <c r="H26" s="12">
        <v>1354499</v>
      </c>
      <c r="I26" s="12">
        <v>1373100</v>
      </c>
      <c r="J26" s="12">
        <v>2019617</v>
      </c>
      <c r="K26" s="12">
        <v>2084902.1</v>
      </c>
      <c r="L26" s="12">
        <v>2086790.21</v>
      </c>
      <c r="M26" s="12">
        <v>8.18</v>
      </c>
      <c r="N26" s="1" t="s">
        <v>5</v>
      </c>
    </row>
    <row r="27" spans="1:14" x14ac:dyDescent="0.25">
      <c r="A27" s="1" t="s">
        <v>121</v>
      </c>
      <c r="B27" s="12">
        <v>36383577.799999997</v>
      </c>
      <c r="C27" s="12">
        <v>609722.06799999997</v>
      </c>
      <c r="D27" s="12">
        <v>35524800</v>
      </c>
      <c r="E27" s="12">
        <v>39539900</v>
      </c>
      <c r="F27" s="12">
        <v>35525449.350000001</v>
      </c>
      <c r="G27" s="12">
        <v>35531293.5</v>
      </c>
      <c r="H27" s="12">
        <v>35570822</v>
      </c>
      <c r="I27" s="12">
        <v>36269100</v>
      </c>
      <c r="J27" s="12">
        <v>38409317</v>
      </c>
      <c r="K27" s="12">
        <v>39472167.799999997</v>
      </c>
      <c r="L27" s="12">
        <v>39533126.780000001</v>
      </c>
      <c r="M27" s="12">
        <v>1.68</v>
      </c>
      <c r="N27" s="1" t="s">
        <v>5</v>
      </c>
    </row>
    <row r="28" spans="1:14" x14ac:dyDescent="0.25">
      <c r="A28" s="1" t="s">
        <v>122</v>
      </c>
      <c r="B28" s="12">
        <v>1390089</v>
      </c>
      <c r="C28" s="12">
        <v>62055.370999999999</v>
      </c>
      <c r="D28" s="12">
        <v>1346200</v>
      </c>
      <c r="E28" s="12">
        <v>1797900</v>
      </c>
      <c r="F28" s="12">
        <v>1346349.85</v>
      </c>
      <c r="G28" s="12">
        <v>1347698.5</v>
      </c>
      <c r="H28" s="12">
        <v>1351899</v>
      </c>
      <c r="I28" s="12">
        <v>1365900</v>
      </c>
      <c r="J28" s="12">
        <v>1631710</v>
      </c>
      <c r="K28" s="12">
        <v>1730167.8</v>
      </c>
      <c r="L28" s="12">
        <v>1791126.78</v>
      </c>
      <c r="M28" s="12">
        <v>4.46</v>
      </c>
      <c r="N28" s="1" t="s">
        <v>5</v>
      </c>
    </row>
    <row r="29" spans="1:14" x14ac:dyDescent="0.25">
      <c r="A29" s="1" t="s">
        <v>123</v>
      </c>
      <c r="B29" s="12">
        <v>17000651.800000001</v>
      </c>
      <c r="C29" s="12">
        <v>437100.36200000002</v>
      </c>
      <c r="D29" s="12">
        <v>13712200</v>
      </c>
      <c r="E29" s="12">
        <v>18734400</v>
      </c>
      <c r="F29" s="12">
        <v>13874217.82</v>
      </c>
      <c r="G29" s="12">
        <v>15332378.199999999</v>
      </c>
      <c r="H29" s="12">
        <v>16066742</v>
      </c>
      <c r="I29" s="12">
        <v>16912750</v>
      </c>
      <c r="J29" s="12">
        <v>18243867</v>
      </c>
      <c r="K29" s="12">
        <v>18733900.5</v>
      </c>
      <c r="L29" s="12">
        <v>18734350.050000001</v>
      </c>
      <c r="M29" s="12">
        <v>2.57</v>
      </c>
      <c r="N29" s="1" t="s">
        <v>5</v>
      </c>
    </row>
    <row r="30" spans="1:14" x14ac:dyDescent="0.25">
      <c r="A30" s="1" t="s">
        <v>124</v>
      </c>
      <c r="B30" s="12">
        <v>1064238.3</v>
      </c>
      <c r="C30" s="12">
        <v>58648.095000000001</v>
      </c>
      <c r="D30" s="12">
        <v>1026700</v>
      </c>
      <c r="E30" s="12">
        <v>1627300</v>
      </c>
      <c r="F30" s="12">
        <v>1026719.98</v>
      </c>
      <c r="G30" s="12">
        <v>1026899.8</v>
      </c>
      <c r="H30" s="12">
        <v>1028200</v>
      </c>
      <c r="I30" s="12">
        <v>1043100</v>
      </c>
      <c r="J30" s="12">
        <v>1304322</v>
      </c>
      <c r="K30" s="12">
        <v>1500626.8</v>
      </c>
      <c r="L30" s="12">
        <v>1614632.68</v>
      </c>
      <c r="M30" s="12">
        <v>5.51</v>
      </c>
      <c r="N30" s="1" t="s">
        <v>5</v>
      </c>
    </row>
    <row r="31" spans="1:14" x14ac:dyDescent="0.25">
      <c r="A31" s="1" t="s">
        <v>125</v>
      </c>
      <c r="B31" s="12">
        <v>426982.3</v>
      </c>
      <c r="C31" s="12">
        <v>30246.469000000001</v>
      </c>
      <c r="D31" s="12">
        <v>409000</v>
      </c>
      <c r="E31" s="12">
        <v>697000</v>
      </c>
      <c r="F31" s="12">
        <v>409019.98</v>
      </c>
      <c r="G31" s="12">
        <v>409199.8</v>
      </c>
      <c r="H31" s="12">
        <v>410000</v>
      </c>
      <c r="I31" s="12">
        <v>416800</v>
      </c>
      <c r="J31" s="12">
        <v>541494</v>
      </c>
      <c r="K31" s="12">
        <v>673123.9</v>
      </c>
      <c r="L31" s="12">
        <v>694612.39</v>
      </c>
      <c r="M31" s="12">
        <v>7.08</v>
      </c>
      <c r="N31" s="1" t="s">
        <v>5</v>
      </c>
    </row>
    <row r="32" spans="1:14" x14ac:dyDescent="0.25">
      <c r="A32" s="1"/>
      <c r="B32" s="12" t="s">
        <v>5</v>
      </c>
      <c r="C32" s="12" t="s">
        <v>5</v>
      </c>
      <c r="D32" s="12" t="s">
        <v>5</v>
      </c>
      <c r="E32" s="12" t="s">
        <v>5</v>
      </c>
      <c r="F32" s="12" t="s">
        <v>5</v>
      </c>
      <c r="G32" s="12" t="s">
        <v>5</v>
      </c>
      <c r="H32" s="12" t="s">
        <v>5</v>
      </c>
      <c r="I32" s="12" t="s">
        <v>5</v>
      </c>
      <c r="J32" s="12" t="s">
        <v>5</v>
      </c>
      <c r="K32" s="12" t="s">
        <v>5</v>
      </c>
      <c r="L32" s="12" t="s">
        <v>5</v>
      </c>
      <c r="M32" s="12" t="s">
        <v>5</v>
      </c>
      <c r="N32" s="1" t="s">
        <v>5</v>
      </c>
    </row>
    <row r="33" spans="1:14" x14ac:dyDescent="0.25">
      <c r="A33" s="1" t="s">
        <v>120</v>
      </c>
      <c r="B33" s="12">
        <v>1455794.2</v>
      </c>
      <c r="C33" s="12">
        <v>147651.62299999999</v>
      </c>
      <c r="D33" s="12">
        <v>1353600</v>
      </c>
      <c r="E33" s="12">
        <v>2239400</v>
      </c>
      <c r="F33" s="12">
        <v>1353749.85</v>
      </c>
      <c r="G33" s="12">
        <v>1355098.5</v>
      </c>
      <c r="H33" s="12">
        <v>1357799</v>
      </c>
      <c r="I33" s="12">
        <v>1388500</v>
      </c>
      <c r="J33" s="12">
        <v>2007205</v>
      </c>
      <c r="K33" s="12">
        <v>2103635.9</v>
      </c>
      <c r="L33" s="12">
        <v>2225823.59</v>
      </c>
      <c r="M33" s="12">
        <v>10.14</v>
      </c>
      <c r="N33" s="1" t="s">
        <v>5</v>
      </c>
    </row>
    <row r="34" spans="1:14" x14ac:dyDescent="0.25">
      <c r="A34" s="1" t="s">
        <v>121</v>
      </c>
      <c r="B34" s="12">
        <v>36835246.899999999</v>
      </c>
      <c r="C34" s="12">
        <v>930143.23499999999</v>
      </c>
      <c r="D34" s="12">
        <v>35191400</v>
      </c>
      <c r="E34" s="12">
        <v>42691400</v>
      </c>
      <c r="F34" s="12">
        <v>35191599.799999997</v>
      </c>
      <c r="G34" s="12">
        <v>35193398</v>
      </c>
      <c r="H34" s="12">
        <v>35410088</v>
      </c>
      <c r="I34" s="12">
        <v>36666650</v>
      </c>
      <c r="J34" s="12">
        <v>39738511</v>
      </c>
      <c r="K34" s="12">
        <v>42341750</v>
      </c>
      <c r="L34" s="12">
        <v>42656435</v>
      </c>
      <c r="M34" s="12">
        <v>2.5299999999999998</v>
      </c>
      <c r="N34" s="1" t="s">
        <v>5</v>
      </c>
    </row>
    <row r="35" spans="1:14" x14ac:dyDescent="0.25">
      <c r="A35" s="1" t="s">
        <v>122</v>
      </c>
      <c r="B35" s="12">
        <v>1438001.3</v>
      </c>
      <c r="C35" s="12">
        <v>110692.894</v>
      </c>
      <c r="D35" s="12">
        <v>1353500</v>
      </c>
      <c r="E35" s="12">
        <v>2045100</v>
      </c>
      <c r="F35" s="12">
        <v>1353529.97</v>
      </c>
      <c r="G35" s="12">
        <v>1353799.7</v>
      </c>
      <c r="H35" s="12">
        <v>1359700</v>
      </c>
      <c r="I35" s="12">
        <v>1388850</v>
      </c>
      <c r="J35" s="12">
        <v>1882601</v>
      </c>
      <c r="K35" s="12">
        <v>2022522.6</v>
      </c>
      <c r="L35" s="12">
        <v>2042842.26</v>
      </c>
      <c r="M35" s="12">
        <v>7.7</v>
      </c>
      <c r="N35" s="1" t="s">
        <v>5</v>
      </c>
    </row>
    <row r="36" spans="1:14" x14ac:dyDescent="0.25">
      <c r="A36" s="1" t="s">
        <v>123</v>
      </c>
      <c r="B36" s="12">
        <v>14954947</v>
      </c>
      <c r="C36" s="12">
        <v>569119.66099999996</v>
      </c>
      <c r="D36" s="12">
        <v>12412700</v>
      </c>
      <c r="E36" s="12">
        <v>16423900</v>
      </c>
      <c r="F36" s="12">
        <v>12433189.49</v>
      </c>
      <c r="G36" s="12">
        <v>12617594.9</v>
      </c>
      <c r="H36" s="12">
        <v>13172195</v>
      </c>
      <c r="I36" s="12">
        <v>15017400</v>
      </c>
      <c r="J36" s="12">
        <v>16090937</v>
      </c>
      <c r="K36" s="12">
        <v>16366557.4</v>
      </c>
      <c r="L36" s="12">
        <v>16418165.74</v>
      </c>
      <c r="M36" s="12">
        <v>3.81</v>
      </c>
      <c r="N36" s="1" t="s">
        <v>5</v>
      </c>
    </row>
    <row r="37" spans="1:14" x14ac:dyDescent="0.25">
      <c r="A37" s="1" t="s">
        <v>124</v>
      </c>
      <c r="B37" s="12">
        <v>1084053.8999999999</v>
      </c>
      <c r="C37" s="12">
        <v>74108.673999999999</v>
      </c>
      <c r="D37" s="12">
        <v>1028900</v>
      </c>
      <c r="E37" s="12">
        <v>1483200</v>
      </c>
      <c r="F37" s="12">
        <v>1028999.9</v>
      </c>
      <c r="G37" s="12">
        <v>1029899</v>
      </c>
      <c r="H37" s="12">
        <v>1033000</v>
      </c>
      <c r="I37" s="12">
        <v>1047400</v>
      </c>
      <c r="J37" s="12">
        <v>1348584</v>
      </c>
      <c r="K37" s="12">
        <v>1430552.7</v>
      </c>
      <c r="L37" s="12">
        <v>1477935.27</v>
      </c>
      <c r="M37" s="12">
        <v>6.84</v>
      </c>
      <c r="N37" s="1" t="s">
        <v>5</v>
      </c>
    </row>
    <row r="38" spans="1:14" x14ac:dyDescent="0.25">
      <c r="A38" s="1" t="s">
        <v>125</v>
      </c>
      <c r="B38" s="12">
        <v>441212</v>
      </c>
      <c r="C38" s="12">
        <v>40745.169000000002</v>
      </c>
      <c r="D38" s="12">
        <v>410500</v>
      </c>
      <c r="E38" s="12">
        <v>741800</v>
      </c>
      <c r="F38" s="12">
        <v>410599.9</v>
      </c>
      <c r="G38" s="12">
        <v>411499</v>
      </c>
      <c r="H38" s="12">
        <v>412000</v>
      </c>
      <c r="I38" s="12">
        <v>423100</v>
      </c>
      <c r="J38" s="12">
        <v>563503</v>
      </c>
      <c r="K38" s="12">
        <v>736605.2</v>
      </c>
      <c r="L38" s="12">
        <v>741280.52</v>
      </c>
      <c r="M38" s="12">
        <v>9.23</v>
      </c>
      <c r="N38" s="1" t="s">
        <v>5</v>
      </c>
    </row>
    <row r="39" spans="1:14" x14ac:dyDescent="0.25">
      <c r="A39" s="1"/>
      <c r="B39" s="12" t="s">
        <v>5</v>
      </c>
      <c r="C39" s="12" t="s">
        <v>5</v>
      </c>
      <c r="D39" s="12" t="s">
        <v>5</v>
      </c>
      <c r="E39" s="12" t="s">
        <v>5</v>
      </c>
      <c r="F39" s="12" t="s">
        <v>5</v>
      </c>
      <c r="G39" s="12" t="s">
        <v>5</v>
      </c>
      <c r="H39" s="12" t="s">
        <v>5</v>
      </c>
      <c r="I39" s="12" t="s">
        <v>5</v>
      </c>
      <c r="J39" s="12" t="s">
        <v>5</v>
      </c>
      <c r="K39" s="12" t="s">
        <v>5</v>
      </c>
      <c r="L39" s="12" t="s">
        <v>5</v>
      </c>
      <c r="M39" s="12" t="s">
        <v>5</v>
      </c>
      <c r="N39" s="1" t="s">
        <v>5</v>
      </c>
    </row>
    <row r="40" spans="1:14" x14ac:dyDescent="0.25">
      <c r="A40" s="1" t="s">
        <v>120</v>
      </c>
      <c r="B40" s="12">
        <v>1449182</v>
      </c>
      <c r="C40" s="12">
        <v>122078.15399999999</v>
      </c>
      <c r="D40" s="12">
        <v>1356000</v>
      </c>
      <c r="E40" s="12">
        <v>2104900</v>
      </c>
      <c r="F40" s="12">
        <v>1356189.81</v>
      </c>
      <c r="G40" s="12">
        <v>1357898.1</v>
      </c>
      <c r="H40" s="12">
        <v>1360100</v>
      </c>
      <c r="I40" s="12">
        <v>1389000</v>
      </c>
      <c r="J40" s="12">
        <v>1953244</v>
      </c>
      <c r="K40" s="12">
        <v>2081423.5</v>
      </c>
      <c r="L40" s="12">
        <v>2102552.35</v>
      </c>
      <c r="M40" s="12">
        <v>8.42</v>
      </c>
      <c r="N40" s="1" t="s">
        <v>5</v>
      </c>
    </row>
    <row r="41" spans="1:14" x14ac:dyDescent="0.25">
      <c r="A41" s="1" t="s">
        <v>121</v>
      </c>
      <c r="B41" s="12">
        <v>35889061.600000001</v>
      </c>
      <c r="C41" s="12">
        <v>676336.44400000002</v>
      </c>
      <c r="D41" s="12">
        <v>34804500</v>
      </c>
      <c r="E41" s="12">
        <v>39151300</v>
      </c>
      <c r="F41" s="12">
        <v>34808256.240000002</v>
      </c>
      <c r="G41" s="12">
        <v>34842062.399999999</v>
      </c>
      <c r="H41" s="12">
        <v>34865838</v>
      </c>
      <c r="I41" s="12">
        <v>35799300</v>
      </c>
      <c r="J41" s="12">
        <v>37844795</v>
      </c>
      <c r="K41" s="12">
        <v>38798253.399999999</v>
      </c>
      <c r="L41" s="12">
        <v>39115995.340000004</v>
      </c>
      <c r="M41" s="12">
        <v>1.88</v>
      </c>
      <c r="N41" s="1" t="s">
        <v>5</v>
      </c>
    </row>
    <row r="42" spans="1:14" x14ac:dyDescent="0.25">
      <c r="A42" s="1" t="s">
        <v>122</v>
      </c>
      <c r="B42" s="12">
        <v>1393846.9</v>
      </c>
      <c r="C42" s="12">
        <v>68931.035000000003</v>
      </c>
      <c r="D42" s="12">
        <v>1348800</v>
      </c>
      <c r="E42" s="12">
        <v>2228800</v>
      </c>
      <c r="F42" s="12">
        <v>1348889.91</v>
      </c>
      <c r="G42" s="12">
        <v>1349699.1</v>
      </c>
      <c r="H42" s="12">
        <v>1353998</v>
      </c>
      <c r="I42" s="12">
        <v>1368450</v>
      </c>
      <c r="J42" s="12">
        <v>1686196</v>
      </c>
      <c r="K42" s="12">
        <v>1774255</v>
      </c>
      <c r="L42" s="12">
        <v>2183345.5</v>
      </c>
      <c r="M42" s="12">
        <v>4.95</v>
      </c>
      <c r="N42" s="1" t="s">
        <v>5</v>
      </c>
    </row>
    <row r="43" spans="1:14" x14ac:dyDescent="0.25">
      <c r="A43" s="1" t="s">
        <v>123</v>
      </c>
      <c r="B43" s="12">
        <v>14296321.5</v>
      </c>
      <c r="C43" s="12">
        <v>296802.30499999999</v>
      </c>
      <c r="D43" s="12">
        <v>13904300</v>
      </c>
      <c r="E43" s="12">
        <v>15867700</v>
      </c>
      <c r="F43" s="12">
        <v>13904689.609999999</v>
      </c>
      <c r="G43" s="12">
        <v>13908196.1</v>
      </c>
      <c r="H43" s="12">
        <v>13919600</v>
      </c>
      <c r="I43" s="12">
        <v>14244850</v>
      </c>
      <c r="J43" s="12">
        <v>15147770</v>
      </c>
      <c r="K43" s="12">
        <v>15492675.4</v>
      </c>
      <c r="L43" s="12">
        <v>15830197.539999999</v>
      </c>
      <c r="M43" s="12">
        <v>2.08</v>
      </c>
      <c r="N43" s="1" t="s">
        <v>5</v>
      </c>
    </row>
    <row r="44" spans="1:14" x14ac:dyDescent="0.25">
      <c r="A44" s="1" t="s">
        <v>124</v>
      </c>
      <c r="B44" s="12">
        <v>1069731.7</v>
      </c>
      <c r="C44" s="12">
        <v>71087.841</v>
      </c>
      <c r="D44" s="12">
        <v>1027600</v>
      </c>
      <c r="E44" s="12">
        <v>1742500</v>
      </c>
      <c r="F44" s="12">
        <v>1027629.97</v>
      </c>
      <c r="G44" s="12">
        <v>1027899.7</v>
      </c>
      <c r="H44" s="12">
        <v>1028700</v>
      </c>
      <c r="I44" s="12">
        <v>1043200</v>
      </c>
      <c r="J44" s="12">
        <v>1348909</v>
      </c>
      <c r="K44" s="12">
        <v>1730811.7</v>
      </c>
      <c r="L44" s="12">
        <v>1741331.17</v>
      </c>
      <c r="M44" s="12">
        <v>6.65</v>
      </c>
      <c r="N44" s="1" t="s">
        <v>5</v>
      </c>
    </row>
    <row r="45" spans="1:14" x14ac:dyDescent="0.25">
      <c r="A45" s="1" t="s">
        <v>125</v>
      </c>
      <c r="B45" s="12">
        <v>431643.8</v>
      </c>
      <c r="C45" s="12">
        <v>32715.741000000002</v>
      </c>
      <c r="D45" s="12">
        <v>411800</v>
      </c>
      <c r="E45" s="12">
        <v>696100</v>
      </c>
      <c r="F45" s="12">
        <v>411809.99</v>
      </c>
      <c r="G45" s="12">
        <v>411899.9</v>
      </c>
      <c r="H45" s="12">
        <v>412600</v>
      </c>
      <c r="I45" s="12">
        <v>421650</v>
      </c>
      <c r="J45" s="12">
        <v>601638</v>
      </c>
      <c r="K45" s="12">
        <v>689306.8</v>
      </c>
      <c r="L45" s="12">
        <v>695420.68</v>
      </c>
      <c r="M45" s="12">
        <v>7.58</v>
      </c>
      <c r="N45" s="1" t="s">
        <v>5</v>
      </c>
    </row>
    <row r="46" spans="1:14" x14ac:dyDescent="0.25">
      <c r="A46" s="1"/>
      <c r="B46" s="12" t="s">
        <v>5</v>
      </c>
      <c r="C46" s="12" t="s">
        <v>5</v>
      </c>
      <c r="D46" s="12" t="s">
        <v>5</v>
      </c>
      <c r="E46" s="12" t="s">
        <v>5</v>
      </c>
      <c r="F46" s="12" t="s">
        <v>5</v>
      </c>
      <c r="G46" s="12" t="s">
        <v>5</v>
      </c>
      <c r="H46" s="12" t="s">
        <v>5</v>
      </c>
      <c r="I46" s="12" t="s">
        <v>5</v>
      </c>
      <c r="J46" s="12" t="s">
        <v>5</v>
      </c>
      <c r="K46" s="12" t="s">
        <v>5</v>
      </c>
      <c r="L46" s="12" t="s">
        <v>5</v>
      </c>
      <c r="M46" s="12" t="s">
        <v>5</v>
      </c>
      <c r="N46" s="1" t="s">
        <v>5</v>
      </c>
    </row>
    <row r="47" spans="1:14" x14ac:dyDescent="0.25">
      <c r="A47" s="1" t="s">
        <v>120</v>
      </c>
      <c r="B47" s="12">
        <v>1433858.7</v>
      </c>
      <c r="C47" s="12">
        <v>111365.649</v>
      </c>
      <c r="D47" s="12">
        <v>1351300</v>
      </c>
      <c r="E47" s="12">
        <v>2171300</v>
      </c>
      <c r="F47" s="12">
        <v>1351509.79</v>
      </c>
      <c r="G47" s="12">
        <v>1353397.9</v>
      </c>
      <c r="H47" s="12">
        <v>1357698</v>
      </c>
      <c r="I47" s="12">
        <v>1382450</v>
      </c>
      <c r="J47" s="12">
        <v>1922951</v>
      </c>
      <c r="K47" s="12">
        <v>2038133.3</v>
      </c>
      <c r="L47" s="12">
        <v>2157983.33</v>
      </c>
      <c r="M47" s="12">
        <v>7.77</v>
      </c>
      <c r="N47" s="1" t="s">
        <v>5</v>
      </c>
    </row>
    <row r="48" spans="1:14" x14ac:dyDescent="0.25">
      <c r="A48" s="1" t="s">
        <v>121</v>
      </c>
      <c r="B48" s="12">
        <v>36232744.5</v>
      </c>
      <c r="C48" s="12">
        <v>630062.52099999995</v>
      </c>
      <c r="D48" s="12">
        <v>35100700</v>
      </c>
      <c r="E48" s="12">
        <v>40158300</v>
      </c>
      <c r="F48" s="12">
        <v>35102837.859999999</v>
      </c>
      <c r="G48" s="12">
        <v>35122078.600000001</v>
      </c>
      <c r="H48" s="12">
        <v>35202470</v>
      </c>
      <c r="I48" s="12">
        <v>36171900</v>
      </c>
      <c r="J48" s="12">
        <v>38079209</v>
      </c>
      <c r="K48" s="12">
        <v>39514244.700000003</v>
      </c>
      <c r="L48" s="12">
        <v>40093894.469999999</v>
      </c>
      <c r="M48" s="12">
        <v>1.74</v>
      </c>
      <c r="N48" s="1" t="s">
        <v>5</v>
      </c>
    </row>
    <row r="49" spans="1:14" x14ac:dyDescent="0.25">
      <c r="A49" s="1" t="s">
        <v>122</v>
      </c>
      <c r="B49" s="12">
        <v>1409004</v>
      </c>
      <c r="C49" s="12">
        <v>84515.801999999996</v>
      </c>
      <c r="D49" s="12">
        <v>1344700</v>
      </c>
      <c r="E49" s="12">
        <v>1934200</v>
      </c>
      <c r="F49" s="12">
        <v>1344779.92</v>
      </c>
      <c r="G49" s="12">
        <v>1345499.2</v>
      </c>
      <c r="H49" s="12">
        <v>1348898</v>
      </c>
      <c r="I49" s="12">
        <v>1367600</v>
      </c>
      <c r="J49" s="12">
        <v>1707116</v>
      </c>
      <c r="K49" s="12">
        <v>1817017.3</v>
      </c>
      <c r="L49" s="12">
        <v>1922481.73</v>
      </c>
      <c r="M49" s="12">
        <v>6</v>
      </c>
      <c r="N49" s="1" t="s">
        <v>5</v>
      </c>
    </row>
    <row r="50" spans="1:14" x14ac:dyDescent="0.25">
      <c r="A50" s="1" t="s">
        <v>123</v>
      </c>
      <c r="B50" s="12">
        <v>15276095.199999999</v>
      </c>
      <c r="C50" s="12">
        <v>371345.77299999999</v>
      </c>
      <c r="D50" s="12">
        <v>12417400</v>
      </c>
      <c r="E50" s="12">
        <v>16657100</v>
      </c>
      <c r="F50" s="12">
        <v>12529877.41</v>
      </c>
      <c r="G50" s="12">
        <v>13542174.1</v>
      </c>
      <c r="H50" s="12">
        <v>14423832</v>
      </c>
      <c r="I50" s="12">
        <v>15217350</v>
      </c>
      <c r="J50" s="12">
        <v>16233643</v>
      </c>
      <c r="K50" s="12">
        <v>16464293</v>
      </c>
      <c r="L50" s="12">
        <v>16637819.300000001</v>
      </c>
      <c r="M50" s="12">
        <v>2.4300000000000002</v>
      </c>
      <c r="N50" s="1" t="s">
        <v>5</v>
      </c>
    </row>
    <row r="51" spans="1:14" x14ac:dyDescent="0.25">
      <c r="A51" s="1" t="s">
        <v>124</v>
      </c>
      <c r="B51" s="12">
        <v>1082570.5</v>
      </c>
      <c r="C51" s="12">
        <v>78823.131999999998</v>
      </c>
      <c r="D51" s="12">
        <v>1028000</v>
      </c>
      <c r="E51" s="12">
        <v>1744300</v>
      </c>
      <c r="F51" s="12">
        <v>1028029.97</v>
      </c>
      <c r="G51" s="12">
        <v>1028299.7</v>
      </c>
      <c r="H51" s="12">
        <v>1029099</v>
      </c>
      <c r="I51" s="12">
        <v>1046000</v>
      </c>
      <c r="J51" s="12">
        <v>1334909</v>
      </c>
      <c r="K51" s="12">
        <v>1734310</v>
      </c>
      <c r="L51" s="12">
        <v>1743301</v>
      </c>
      <c r="M51" s="12">
        <v>7.28</v>
      </c>
      <c r="N51" s="1" t="s">
        <v>5</v>
      </c>
    </row>
    <row r="52" spans="1:14" x14ac:dyDescent="0.25">
      <c r="A52" s="1" t="s">
        <v>125</v>
      </c>
      <c r="B52" s="12">
        <v>435350.3</v>
      </c>
      <c r="C52" s="12">
        <v>38823.129999999997</v>
      </c>
      <c r="D52" s="12">
        <v>408300</v>
      </c>
      <c r="E52" s="12">
        <v>684000</v>
      </c>
      <c r="F52" s="12">
        <v>408339.96</v>
      </c>
      <c r="G52" s="12">
        <v>408699.6</v>
      </c>
      <c r="H52" s="12">
        <v>409700</v>
      </c>
      <c r="I52" s="12">
        <v>418600</v>
      </c>
      <c r="J52" s="12">
        <v>550290</v>
      </c>
      <c r="K52" s="12">
        <v>669514.5</v>
      </c>
      <c r="L52" s="12">
        <v>682551.45</v>
      </c>
      <c r="M52" s="20">
        <v>8.92</v>
      </c>
      <c r="N52" s="1" t="s">
        <v>5</v>
      </c>
    </row>
    <row r="53" spans="1:14" x14ac:dyDescent="0.25">
      <c r="A53" s="1" t="s">
        <v>135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t="s">
        <v>129</v>
      </c>
      <c r="B54" s="12">
        <f>AVERAGE(B19,B26,B33,B40,B47)</f>
        <v>1439362.6</v>
      </c>
      <c r="C54" s="12">
        <f t="shared" ref="C54:M54" si="0">AVERAGE(C19,C26,C33,C40,C47)</f>
        <v>122880.51339999998</v>
      </c>
      <c r="D54" s="12">
        <f t="shared" si="0"/>
        <v>1354340</v>
      </c>
      <c r="E54" s="12">
        <f t="shared" si="0"/>
        <v>2148400</v>
      </c>
      <c r="F54" s="12">
        <f t="shared" si="0"/>
        <v>1354499.7880000002</v>
      </c>
      <c r="G54" s="12">
        <f t="shared" si="0"/>
        <v>1355938.28</v>
      </c>
      <c r="H54" s="12">
        <f t="shared" si="0"/>
        <v>1359059</v>
      </c>
      <c r="I54" s="12">
        <f t="shared" si="0"/>
        <v>1384550</v>
      </c>
      <c r="J54" s="12">
        <f t="shared" si="0"/>
        <v>1969269.2</v>
      </c>
      <c r="K54" s="12">
        <f t="shared" si="0"/>
        <v>2082965.5</v>
      </c>
      <c r="L54" s="12">
        <f t="shared" si="0"/>
        <v>2141856.67</v>
      </c>
      <c r="M54" s="12">
        <f t="shared" si="0"/>
        <v>8.532</v>
      </c>
    </row>
    <row r="55" spans="1:14" x14ac:dyDescent="0.25">
      <c r="A55" t="s">
        <v>128</v>
      </c>
      <c r="B55" s="12">
        <f t="shared" ref="B55:M59" si="1">AVERAGE(B20,B27,B34,B41,B48)</f>
        <v>36355517.339999996</v>
      </c>
      <c r="C55" s="12">
        <f t="shared" si="1"/>
        <v>723274.68919999991</v>
      </c>
      <c r="D55" s="12">
        <f t="shared" si="1"/>
        <v>35171640</v>
      </c>
      <c r="E55" s="12">
        <f t="shared" si="1"/>
        <v>40644860</v>
      </c>
      <c r="F55" s="12">
        <f t="shared" si="1"/>
        <v>35173322.316</v>
      </c>
      <c r="G55" s="12">
        <f t="shared" si="1"/>
        <v>35188463.159999996</v>
      </c>
      <c r="H55" s="12">
        <f t="shared" si="1"/>
        <v>35278295.799999997</v>
      </c>
      <c r="I55" s="12">
        <f t="shared" si="1"/>
        <v>36245250</v>
      </c>
      <c r="J55" s="12">
        <f t="shared" si="1"/>
        <v>38652985.399999999</v>
      </c>
      <c r="K55" s="12">
        <f t="shared" si="1"/>
        <v>40157567.779999994</v>
      </c>
      <c r="L55" s="12">
        <f t="shared" si="1"/>
        <v>40596130.778000005</v>
      </c>
      <c r="M55" s="12">
        <f t="shared" si="1"/>
        <v>1.988</v>
      </c>
    </row>
    <row r="56" spans="1:14" x14ac:dyDescent="0.25">
      <c r="A56" t="s">
        <v>130</v>
      </c>
      <c r="B56" s="12">
        <f t="shared" si="1"/>
        <v>1409197.6199999999</v>
      </c>
      <c r="C56" s="12">
        <f t="shared" si="1"/>
        <v>80410.570800000016</v>
      </c>
      <c r="D56" s="12">
        <f t="shared" si="1"/>
        <v>1348760</v>
      </c>
      <c r="E56" s="12">
        <f t="shared" si="1"/>
        <v>1960560</v>
      </c>
      <c r="F56" s="12">
        <f t="shared" si="1"/>
        <v>1348831.9279999998</v>
      </c>
      <c r="G56" s="12">
        <f t="shared" si="1"/>
        <v>1349479.2799999998</v>
      </c>
      <c r="H56" s="12">
        <f t="shared" si="1"/>
        <v>1353658.6</v>
      </c>
      <c r="I56" s="12">
        <f t="shared" si="1"/>
        <v>1374160</v>
      </c>
      <c r="J56" s="12">
        <f t="shared" si="1"/>
        <v>1712587.4</v>
      </c>
      <c r="K56" s="12">
        <f t="shared" si="1"/>
        <v>1815025.6800000002</v>
      </c>
      <c r="L56" s="12">
        <f t="shared" si="1"/>
        <v>1946006.568</v>
      </c>
      <c r="M56" s="12">
        <f t="shared" si="1"/>
        <v>5.694</v>
      </c>
    </row>
    <row r="57" spans="1:14" x14ac:dyDescent="0.25">
      <c r="A57" t="s">
        <v>41</v>
      </c>
      <c r="B57" s="12">
        <f t="shared" si="1"/>
        <v>14631211.76</v>
      </c>
      <c r="C57" s="12">
        <f t="shared" si="1"/>
        <v>379151.16240000003</v>
      </c>
      <c r="D57" s="12">
        <f t="shared" si="1"/>
        <v>12754860</v>
      </c>
      <c r="E57" s="12">
        <f t="shared" si="1"/>
        <v>16131800</v>
      </c>
      <c r="F57" s="12">
        <f t="shared" si="1"/>
        <v>12814220.580000002</v>
      </c>
      <c r="G57" s="12">
        <f t="shared" si="1"/>
        <v>13348465.800000001</v>
      </c>
      <c r="H57" s="12">
        <f t="shared" si="1"/>
        <v>13791613.800000001</v>
      </c>
      <c r="I57" s="12">
        <f t="shared" si="1"/>
        <v>14595160</v>
      </c>
      <c r="J57" s="12">
        <f t="shared" si="1"/>
        <v>15610050.800000001</v>
      </c>
      <c r="K57" s="12">
        <f t="shared" si="1"/>
        <v>15921370.639999997</v>
      </c>
      <c r="L57" s="12">
        <f t="shared" si="1"/>
        <v>16110757.064000001</v>
      </c>
      <c r="M57" s="12">
        <f t="shared" si="1"/>
        <v>2.5579999999999998</v>
      </c>
    </row>
    <row r="58" spans="1:14" x14ac:dyDescent="0.25">
      <c r="A58" t="s">
        <v>42</v>
      </c>
      <c r="B58" s="12">
        <f t="shared" si="1"/>
        <v>1072507.6599999999</v>
      </c>
      <c r="C58" s="12">
        <f t="shared" si="1"/>
        <v>66739.68759999999</v>
      </c>
      <c r="D58" s="12">
        <f t="shared" si="1"/>
        <v>1027900</v>
      </c>
      <c r="E58" s="12">
        <f t="shared" si="1"/>
        <v>1615620</v>
      </c>
      <c r="F58" s="12">
        <f t="shared" si="1"/>
        <v>1027957.942</v>
      </c>
      <c r="G58" s="12">
        <f t="shared" si="1"/>
        <v>1028479.4200000002</v>
      </c>
      <c r="H58" s="12">
        <f t="shared" si="1"/>
        <v>1030259.8</v>
      </c>
      <c r="I58" s="12">
        <f t="shared" si="1"/>
        <v>1045020</v>
      </c>
      <c r="J58" s="12">
        <f t="shared" si="1"/>
        <v>1329591.8</v>
      </c>
      <c r="K58" s="12">
        <f t="shared" si="1"/>
        <v>1565749.9200000002</v>
      </c>
      <c r="L58" s="12">
        <f t="shared" si="1"/>
        <v>1610632.9920000001</v>
      </c>
      <c r="M58" s="12">
        <f t="shared" si="1"/>
        <v>6.2180000000000009</v>
      </c>
    </row>
    <row r="59" spans="1:14" x14ac:dyDescent="0.25">
      <c r="A59" t="s">
        <v>43</v>
      </c>
      <c r="B59" s="12">
        <f t="shared" si="1"/>
        <v>431954.22000000003</v>
      </c>
      <c r="C59" s="12">
        <f t="shared" si="1"/>
        <v>33502.990400000002</v>
      </c>
      <c r="D59" s="12">
        <f t="shared" si="1"/>
        <v>409800</v>
      </c>
      <c r="E59" s="12">
        <f t="shared" si="1"/>
        <v>696060</v>
      </c>
      <c r="F59" s="12">
        <f t="shared" si="1"/>
        <v>409837.96199999994</v>
      </c>
      <c r="G59" s="12">
        <f t="shared" si="1"/>
        <v>410179.62</v>
      </c>
      <c r="H59" s="12">
        <f t="shared" si="1"/>
        <v>410920</v>
      </c>
      <c r="I59" s="12">
        <f t="shared" si="1"/>
        <v>419470</v>
      </c>
      <c r="J59" s="12">
        <f t="shared" si="1"/>
        <v>556251.6</v>
      </c>
      <c r="K59" s="12">
        <f t="shared" si="1"/>
        <v>684171.9</v>
      </c>
      <c r="L59" s="12">
        <f t="shared" si="1"/>
        <v>694871.19000000006</v>
      </c>
      <c r="M59" s="12">
        <f t="shared" si="1"/>
        <v>7.7380000000000013</v>
      </c>
    </row>
    <row r="60" spans="1:14" x14ac:dyDescent="0.25">
      <c r="A60" t="s">
        <v>136</v>
      </c>
    </row>
    <row r="61" spans="1:14" x14ac:dyDescent="0.25">
      <c r="A61" t="s">
        <v>129</v>
      </c>
      <c r="B61" s="12">
        <f>B54/1000</f>
        <v>1439.3626000000002</v>
      </c>
      <c r="C61" s="12">
        <f t="shared" ref="C61:L61" si="2">C54/1000</f>
        <v>122.88051339999998</v>
      </c>
      <c r="D61" s="12">
        <f t="shared" si="2"/>
        <v>1354.34</v>
      </c>
      <c r="E61" s="12">
        <f t="shared" si="2"/>
        <v>2148.4</v>
      </c>
      <c r="F61" s="12">
        <f t="shared" si="2"/>
        <v>1354.4997880000001</v>
      </c>
      <c r="G61" s="12">
        <f t="shared" si="2"/>
        <v>1355.9382800000001</v>
      </c>
      <c r="H61" s="12">
        <f t="shared" si="2"/>
        <v>1359.059</v>
      </c>
      <c r="I61" s="12">
        <f t="shared" si="2"/>
        <v>1384.55</v>
      </c>
      <c r="J61" s="12">
        <f t="shared" si="2"/>
        <v>1969.2692</v>
      </c>
      <c r="K61" s="12">
        <f t="shared" si="2"/>
        <v>2082.9654999999998</v>
      </c>
      <c r="L61" s="12">
        <f t="shared" si="2"/>
        <v>2141.8566700000001</v>
      </c>
      <c r="M61" s="12">
        <f t="shared" ref="M61:M66" si="3">M54/100</f>
        <v>8.5320000000000007E-2</v>
      </c>
    </row>
    <row r="62" spans="1:14" x14ac:dyDescent="0.25">
      <c r="A62" t="s">
        <v>128</v>
      </c>
      <c r="B62" s="12">
        <f t="shared" ref="B62:L66" si="4">B55/1000</f>
        <v>36355.517339999999</v>
      </c>
      <c r="C62" s="12">
        <f t="shared" si="4"/>
        <v>723.2746891999999</v>
      </c>
      <c r="D62" s="12">
        <f t="shared" si="4"/>
        <v>35171.64</v>
      </c>
      <c r="E62" s="12">
        <f t="shared" si="4"/>
        <v>40644.86</v>
      </c>
      <c r="F62" s="12">
        <f t="shared" si="4"/>
        <v>35173.322315999998</v>
      </c>
      <c r="G62" s="12">
        <f t="shared" si="4"/>
        <v>35188.463159999999</v>
      </c>
      <c r="H62" s="12">
        <f t="shared" si="4"/>
        <v>35278.2958</v>
      </c>
      <c r="I62" s="12">
        <f t="shared" si="4"/>
        <v>36245.25</v>
      </c>
      <c r="J62" s="12">
        <f t="shared" si="4"/>
        <v>38652.985399999998</v>
      </c>
      <c r="K62" s="12">
        <f t="shared" si="4"/>
        <v>40157.56777999999</v>
      </c>
      <c r="L62" s="12">
        <f t="shared" si="4"/>
        <v>40596.130778000006</v>
      </c>
      <c r="M62" s="12">
        <f t="shared" si="3"/>
        <v>1.9879999999999998E-2</v>
      </c>
    </row>
    <row r="63" spans="1:14" x14ac:dyDescent="0.25">
      <c r="A63" t="s">
        <v>130</v>
      </c>
      <c r="B63" s="12">
        <f t="shared" si="4"/>
        <v>1409.1976199999999</v>
      </c>
      <c r="C63" s="12">
        <f t="shared" si="4"/>
        <v>80.410570800000016</v>
      </c>
      <c r="D63" s="12">
        <f t="shared" si="4"/>
        <v>1348.76</v>
      </c>
      <c r="E63" s="12">
        <f t="shared" si="4"/>
        <v>1960.56</v>
      </c>
      <c r="F63" s="12">
        <f t="shared" si="4"/>
        <v>1348.8319279999998</v>
      </c>
      <c r="G63" s="12">
        <f t="shared" si="4"/>
        <v>1349.4792799999998</v>
      </c>
      <c r="H63" s="12">
        <f t="shared" si="4"/>
        <v>1353.6586000000002</v>
      </c>
      <c r="I63" s="12">
        <f t="shared" si="4"/>
        <v>1374.16</v>
      </c>
      <c r="J63" s="12">
        <f t="shared" si="4"/>
        <v>1712.5873999999999</v>
      </c>
      <c r="K63" s="12">
        <f t="shared" si="4"/>
        <v>1815.0256800000002</v>
      </c>
      <c r="L63" s="12">
        <f t="shared" si="4"/>
        <v>1946.006568</v>
      </c>
      <c r="M63" s="12">
        <f t="shared" si="3"/>
        <v>5.6939999999999998E-2</v>
      </c>
    </row>
    <row r="64" spans="1:14" x14ac:dyDescent="0.25">
      <c r="A64" t="s">
        <v>41</v>
      </c>
      <c r="B64" s="12">
        <f t="shared" si="4"/>
        <v>14631.21176</v>
      </c>
      <c r="C64" s="12">
        <f t="shared" si="4"/>
        <v>379.15116240000003</v>
      </c>
      <c r="D64" s="12">
        <f t="shared" si="4"/>
        <v>12754.86</v>
      </c>
      <c r="E64" s="12">
        <f t="shared" si="4"/>
        <v>16131.8</v>
      </c>
      <c r="F64" s="12">
        <f t="shared" si="4"/>
        <v>12814.220580000001</v>
      </c>
      <c r="G64" s="12">
        <f t="shared" si="4"/>
        <v>13348.4658</v>
      </c>
      <c r="H64" s="12">
        <f t="shared" si="4"/>
        <v>13791.613800000001</v>
      </c>
      <c r="I64" s="12">
        <f t="shared" si="4"/>
        <v>14595.16</v>
      </c>
      <c r="J64" s="12">
        <f t="shared" si="4"/>
        <v>15610.050800000001</v>
      </c>
      <c r="K64" s="12">
        <f t="shared" si="4"/>
        <v>15921.370639999997</v>
      </c>
      <c r="L64" s="12">
        <f t="shared" si="4"/>
        <v>16110.757064000001</v>
      </c>
      <c r="M64" s="12">
        <f t="shared" si="3"/>
        <v>2.5579999999999999E-2</v>
      </c>
    </row>
    <row r="65" spans="1:13" x14ac:dyDescent="0.25">
      <c r="A65" t="s">
        <v>42</v>
      </c>
      <c r="B65" s="12">
        <f t="shared" si="4"/>
        <v>1072.50766</v>
      </c>
      <c r="C65" s="12">
        <f t="shared" si="4"/>
        <v>66.739687599999996</v>
      </c>
      <c r="D65" s="12">
        <f t="shared" si="4"/>
        <v>1027.9000000000001</v>
      </c>
      <c r="E65" s="12">
        <f t="shared" si="4"/>
        <v>1615.62</v>
      </c>
      <c r="F65" s="12">
        <f t="shared" si="4"/>
        <v>1027.957942</v>
      </c>
      <c r="G65" s="12">
        <f t="shared" si="4"/>
        <v>1028.4794200000001</v>
      </c>
      <c r="H65" s="12">
        <f t="shared" si="4"/>
        <v>1030.2598</v>
      </c>
      <c r="I65" s="12">
        <f t="shared" si="4"/>
        <v>1045.02</v>
      </c>
      <c r="J65" s="12">
        <f t="shared" si="4"/>
        <v>1329.5918000000001</v>
      </c>
      <c r="K65" s="12">
        <f t="shared" si="4"/>
        <v>1565.7499200000002</v>
      </c>
      <c r="L65" s="12">
        <f t="shared" si="4"/>
        <v>1610.6329920000001</v>
      </c>
      <c r="M65" s="12">
        <f t="shared" si="3"/>
        <v>6.2180000000000006E-2</v>
      </c>
    </row>
    <row r="66" spans="1:13" x14ac:dyDescent="0.25">
      <c r="A66" t="s">
        <v>43</v>
      </c>
      <c r="B66" s="12">
        <f t="shared" si="4"/>
        <v>431.95422000000002</v>
      </c>
      <c r="C66" s="12">
        <f t="shared" si="4"/>
        <v>33.502990400000002</v>
      </c>
      <c r="D66" s="12">
        <f t="shared" si="4"/>
        <v>409.8</v>
      </c>
      <c r="E66" s="12">
        <f t="shared" si="4"/>
        <v>696.06</v>
      </c>
      <c r="F66" s="12">
        <f t="shared" si="4"/>
        <v>409.83796199999995</v>
      </c>
      <c r="G66" s="12">
        <f t="shared" si="4"/>
        <v>410.17962</v>
      </c>
      <c r="H66" s="12">
        <f t="shared" si="4"/>
        <v>410.92</v>
      </c>
      <c r="I66" s="12">
        <f t="shared" si="4"/>
        <v>419.47</v>
      </c>
      <c r="J66" s="12">
        <f t="shared" si="4"/>
        <v>556.25159999999994</v>
      </c>
      <c r="K66" s="12">
        <f t="shared" si="4"/>
        <v>684.17190000000005</v>
      </c>
      <c r="L66" s="12">
        <f t="shared" si="4"/>
        <v>694.87119000000007</v>
      </c>
      <c r="M66" s="12">
        <f t="shared" si="3"/>
        <v>7.7380000000000018E-2</v>
      </c>
    </row>
    <row r="68" spans="1:13" x14ac:dyDescent="0.25">
      <c r="A68" t="str">
        <f t="shared" ref="A68:A73" si="5">A61</f>
        <v>Скалярное</v>
      </c>
      <c r="B68" s="12">
        <f>B62/B61</f>
        <v>25.258067244487243</v>
      </c>
      <c r="C68" s="12">
        <f t="shared" ref="C68:L68" si="6">C62/C61</f>
        <v>5.8859998968721756</v>
      </c>
      <c r="D68" s="12">
        <f t="shared" si="6"/>
        <v>25.969579278467741</v>
      </c>
      <c r="E68" s="12">
        <f t="shared" si="6"/>
        <v>18.918665053062742</v>
      </c>
      <c r="F68" s="12">
        <f t="shared" si="6"/>
        <v>25.967757712192419</v>
      </c>
      <c r="G68" s="12">
        <f t="shared" si="6"/>
        <v>25.951375279411682</v>
      </c>
      <c r="H68" s="12">
        <f t="shared" si="6"/>
        <v>25.957883947643186</v>
      </c>
      <c r="I68" s="12">
        <f t="shared" si="6"/>
        <v>26.178361200390018</v>
      </c>
      <c r="J68" s="12">
        <f t="shared" si="6"/>
        <v>19.628086094069818</v>
      </c>
      <c r="K68" s="12">
        <f t="shared" si="6"/>
        <v>19.279036441074034</v>
      </c>
      <c r="L68" s="12">
        <f t="shared" si="6"/>
        <v>18.953710276981326</v>
      </c>
      <c r="M68" s="12">
        <f>M62/M62</f>
        <v>1</v>
      </c>
    </row>
    <row r="69" spans="1:13" x14ac:dyDescent="0.25">
      <c r="A69" t="str">
        <f t="shared" si="5"/>
        <v>Наивное</v>
      </c>
      <c r="B69" s="12">
        <f>B62/B62</f>
        <v>1</v>
      </c>
      <c r="C69" s="12">
        <f t="shared" ref="C69:L69" si="7">C62/C62</f>
        <v>1</v>
      </c>
      <c r="D69" s="12">
        <f t="shared" si="7"/>
        <v>1</v>
      </c>
      <c r="E69" s="12">
        <f t="shared" si="7"/>
        <v>1</v>
      </c>
      <c r="F69" s="12">
        <f t="shared" si="7"/>
        <v>1</v>
      </c>
      <c r="G69" s="12">
        <f t="shared" si="7"/>
        <v>1</v>
      </c>
      <c r="H69" s="12">
        <f t="shared" si="7"/>
        <v>1</v>
      </c>
      <c r="I69" s="12">
        <f t="shared" si="7"/>
        <v>1</v>
      </c>
      <c r="J69" s="12">
        <f t="shared" si="7"/>
        <v>1</v>
      </c>
      <c r="K69" s="12">
        <f t="shared" si="7"/>
        <v>1</v>
      </c>
      <c r="L69" s="12">
        <f t="shared" si="7"/>
        <v>1</v>
      </c>
      <c r="M69" s="12"/>
    </row>
    <row r="70" spans="1:13" x14ac:dyDescent="0.25">
      <c r="A70" t="str">
        <f t="shared" si="5"/>
        <v>Скалярное опт.</v>
      </c>
      <c r="B70" s="12">
        <f>B62/B63</f>
        <v>25.79873597856346</v>
      </c>
      <c r="C70" s="12">
        <f t="shared" ref="C70:L70" si="8">C62/C63</f>
        <v>8.9947712347292494</v>
      </c>
      <c r="D70" s="12">
        <f t="shared" si="8"/>
        <v>26.077018891426199</v>
      </c>
      <c r="E70" s="12">
        <f t="shared" si="8"/>
        <v>20.731250255029178</v>
      </c>
      <c r="F70" s="12">
        <f t="shared" si="8"/>
        <v>26.076875543829804</v>
      </c>
      <c r="G70" s="12">
        <f t="shared" si="8"/>
        <v>26.075586103107863</v>
      </c>
      <c r="H70" s="12">
        <f t="shared" si="8"/>
        <v>26.061442523247734</v>
      </c>
      <c r="I70" s="12">
        <f t="shared" si="8"/>
        <v>26.376295336787564</v>
      </c>
      <c r="J70" s="12">
        <f t="shared" si="8"/>
        <v>22.569934474585065</v>
      </c>
      <c r="K70" s="12">
        <f t="shared" si="8"/>
        <v>22.125068654675996</v>
      </c>
      <c r="L70" s="12">
        <f t="shared" si="8"/>
        <v>20.861250648153007</v>
      </c>
      <c r="M70" s="12"/>
    </row>
    <row r="71" spans="1:13" x14ac:dyDescent="0.25">
      <c r="A71" t="str">
        <f t="shared" si="5"/>
        <v>SSE</v>
      </c>
      <c r="B71" s="12">
        <f>B62/B64</f>
        <v>2.4847919595690411</v>
      </c>
      <c r="C71" s="12">
        <f t="shared" ref="C71:L71" si="9">C62/C64</f>
        <v>1.9076156449626114</v>
      </c>
      <c r="D71" s="12">
        <f t="shared" si="9"/>
        <v>2.7575089024889334</v>
      </c>
      <c r="E71" s="12">
        <f t="shared" si="9"/>
        <v>2.5195489653975378</v>
      </c>
      <c r="F71" s="12">
        <f t="shared" si="9"/>
        <v>2.7448663066482033</v>
      </c>
      <c r="G71" s="12">
        <f t="shared" si="9"/>
        <v>2.6361428861734808</v>
      </c>
      <c r="H71" s="12">
        <f t="shared" si="9"/>
        <v>2.5579527031129596</v>
      </c>
      <c r="I71" s="12">
        <f t="shared" si="9"/>
        <v>2.4833746255608022</v>
      </c>
      <c r="J71" s="12">
        <f t="shared" si="9"/>
        <v>2.4761601288318675</v>
      </c>
      <c r="K71" s="12">
        <f t="shared" si="9"/>
        <v>2.5222431339617377</v>
      </c>
      <c r="L71" s="12">
        <f t="shared" si="9"/>
        <v>2.5198152151839812</v>
      </c>
      <c r="M71" s="12"/>
    </row>
    <row r="72" spans="1:13" x14ac:dyDescent="0.25">
      <c r="A72" t="str">
        <f t="shared" si="5"/>
        <v>SSE 2</v>
      </c>
      <c r="B72" s="12">
        <f>B62/B65</f>
        <v>33.897676162051837</v>
      </c>
      <c r="C72" s="12">
        <f t="shared" ref="C72:L72" si="10">C62/C65</f>
        <v>10.837250146193371</v>
      </c>
      <c r="D72" s="12">
        <f t="shared" si="10"/>
        <v>34.216986088140864</v>
      </c>
      <c r="E72" s="12">
        <f t="shared" si="10"/>
        <v>25.157438011413578</v>
      </c>
      <c r="F72" s="12">
        <f t="shared" si="10"/>
        <v>34.216693970539893</v>
      </c>
      <c r="G72" s="12">
        <f t="shared" si="10"/>
        <v>34.214066393277946</v>
      </c>
      <c r="H72" s="12">
        <f t="shared" si="10"/>
        <v>34.242135624431818</v>
      </c>
      <c r="I72" s="12">
        <f t="shared" si="10"/>
        <v>34.683785956249643</v>
      </c>
      <c r="J72" s="12">
        <f t="shared" si="10"/>
        <v>29.071317527680296</v>
      </c>
      <c r="K72" s="12">
        <f t="shared" si="10"/>
        <v>25.647497896726691</v>
      </c>
      <c r="L72" s="12">
        <f t="shared" si="10"/>
        <v>25.205078363376778</v>
      </c>
      <c r="M72" s="12"/>
    </row>
    <row r="73" spans="1:13" x14ac:dyDescent="0.25">
      <c r="A73" t="str">
        <f t="shared" si="5"/>
        <v>AVX</v>
      </c>
      <c r="B73" s="12">
        <f>B62/B66</f>
        <v>84.165209313153596</v>
      </c>
      <c r="C73" s="12">
        <f t="shared" ref="C73:L73" si="11">C62/C66</f>
        <v>21.588362130205542</v>
      </c>
      <c r="D73" s="12">
        <f t="shared" si="11"/>
        <v>85.826354319180084</v>
      </c>
      <c r="E73" s="12">
        <f t="shared" si="11"/>
        <v>58.392753498261648</v>
      </c>
      <c r="F73" s="12">
        <f t="shared" si="11"/>
        <v>85.822509326259052</v>
      </c>
      <c r="G73" s="12">
        <f t="shared" si="11"/>
        <v>85.787936416733714</v>
      </c>
      <c r="H73" s="12">
        <f t="shared" si="11"/>
        <v>85.851980434147762</v>
      </c>
      <c r="I73" s="12">
        <f t="shared" si="11"/>
        <v>86.407252008486893</v>
      </c>
      <c r="J73" s="12">
        <f t="shared" si="11"/>
        <v>69.488313202155283</v>
      </c>
      <c r="K73" s="12">
        <f t="shared" si="11"/>
        <v>58.695143398903092</v>
      </c>
      <c r="L73" s="12">
        <f t="shared" si="11"/>
        <v>58.422526883004032</v>
      </c>
      <c r="M73" s="12"/>
    </row>
  </sheetData>
  <conditionalFormatting sqref="B54:B59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4:B59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:C59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:C59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:D59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:D59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:E59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:E59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:F59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:F59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:G59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:G59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:H59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:H59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:I59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:I59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:J59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:J59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:K59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:K59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:L59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:L59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:M59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:M59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1:B6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1:B6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:C6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:C6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66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66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66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66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66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66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66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66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66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66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66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66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66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66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66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66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66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66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66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66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8:M73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8:M73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8:B73">
    <cfRule type="colorScale" priority="37">
      <colorScale>
        <cfvo type="min"/>
        <cfvo type="max"/>
        <color rgb="FFFFEF9C"/>
        <color rgb="FF63BE7B"/>
      </colorScale>
    </cfRule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8:B73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:C73">
    <cfRule type="colorScale" priority="34">
      <colorScale>
        <cfvo type="min"/>
        <cfvo type="max"/>
        <color rgb="FFFFEF9C"/>
        <color rgb="FF63BE7B"/>
      </colorScale>
    </cfRule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:C7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8:D73">
    <cfRule type="colorScale" priority="25">
      <colorScale>
        <cfvo type="min"/>
        <cfvo type="max"/>
        <color rgb="FFFFEF9C"/>
        <color rgb="FF63BE7B"/>
      </colorScale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8:D7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8:E73">
    <cfRule type="colorScale" priority="22">
      <colorScale>
        <cfvo type="min"/>
        <cfvo type="max"/>
        <color rgb="FFFFEF9C"/>
        <color rgb="FF63BE7B"/>
      </colorScale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8:E7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8:F73">
    <cfRule type="colorScale" priority="19">
      <colorScale>
        <cfvo type="min"/>
        <cfvo type="max"/>
        <color rgb="FFFFEF9C"/>
        <color rgb="FF63BE7B"/>
      </colorScale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8:F7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8:G73">
    <cfRule type="colorScale" priority="16">
      <colorScale>
        <cfvo type="min"/>
        <cfvo type="max"/>
        <color rgb="FFFFEF9C"/>
        <color rgb="FF63BE7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8:G7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8:H73">
    <cfRule type="colorScale" priority="13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8:H7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8:I73">
    <cfRule type="colorScale" priority="10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8:I7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8:J73">
    <cfRule type="colorScale" priority="7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8:J7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8:K73">
    <cfRule type="colorScale" priority="4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8:K7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8:L73">
    <cfRule type="colorScale" priority="1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8:L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CCA7-B47A-4AFB-A8D5-E42B2F26F12C}">
  <dimension ref="A1:L50"/>
  <sheetViews>
    <sheetView topLeftCell="A4" zoomScaleNormal="100" workbookViewId="0">
      <selection activeCell="G30" sqref="G30"/>
    </sheetView>
  </sheetViews>
  <sheetFormatPr defaultRowHeight="15" x14ac:dyDescent="0.25"/>
  <cols>
    <col min="1" max="1" width="11.5703125" bestFit="1" customWidth="1"/>
    <col min="2" max="3" width="11.140625" bestFit="1" customWidth="1"/>
    <col min="4" max="12" width="12.85546875" bestFit="1" customWidth="1"/>
  </cols>
  <sheetData>
    <row r="1" spans="1:12" x14ac:dyDescent="0.25">
      <c r="A1" t="s">
        <v>33</v>
      </c>
      <c r="B1" t="s">
        <v>44</v>
      </c>
      <c r="C1" t="s">
        <v>48</v>
      </c>
      <c r="D1" t="s">
        <v>9</v>
      </c>
      <c r="E1" t="s">
        <v>10</v>
      </c>
      <c r="F1" t="s">
        <v>39</v>
      </c>
      <c r="G1" t="s">
        <v>12</v>
      </c>
      <c r="H1" s="2" t="s">
        <v>13</v>
      </c>
      <c r="I1" s="2" t="s">
        <v>14</v>
      </c>
      <c r="J1" s="2" t="s">
        <v>15</v>
      </c>
      <c r="K1" t="s">
        <v>16</v>
      </c>
      <c r="L1" t="s">
        <v>40</v>
      </c>
    </row>
    <row r="2" spans="1:12" x14ac:dyDescent="0.25">
      <c r="A2" s="1" t="s">
        <v>0</v>
      </c>
      <c r="B2" s="4">
        <v>3.075E-2</v>
      </c>
      <c r="C2" s="4">
        <v>5.3899999999999998E-3</v>
      </c>
      <c r="D2" s="4">
        <v>2.7E-2</v>
      </c>
      <c r="E2" s="4">
        <v>0.157</v>
      </c>
      <c r="F2" s="4">
        <v>2.7E-2</v>
      </c>
      <c r="G2" s="4">
        <v>2.7E-2</v>
      </c>
      <c r="H2" s="4">
        <v>2.7E-2</v>
      </c>
      <c r="I2" s="4">
        <v>2.8000000000000001E-2</v>
      </c>
      <c r="J2" s="4">
        <v>5.1999999999999998E-2</v>
      </c>
      <c r="K2" s="4">
        <v>6.5000000000000002E-2</v>
      </c>
      <c r="L2" s="4">
        <v>0.17201</v>
      </c>
    </row>
    <row r="3" spans="1:12" x14ac:dyDescent="0.25">
      <c r="A3" s="1" t="s">
        <v>31</v>
      </c>
      <c r="B3" s="4">
        <v>0.61565999999999999</v>
      </c>
      <c r="C3" s="4">
        <v>6.368E-2</v>
      </c>
      <c r="D3" s="4">
        <v>0.55200000000000005</v>
      </c>
      <c r="E3" s="4">
        <v>1.22</v>
      </c>
      <c r="F3" s="4">
        <v>0.55100000000000005</v>
      </c>
      <c r="G3" s="4">
        <v>0.55200000000000005</v>
      </c>
      <c r="H3" s="4">
        <v>0.55300000000000005</v>
      </c>
      <c r="I3" s="4">
        <v>0.59299999999999997</v>
      </c>
      <c r="J3" s="4">
        <v>0.80400000000000005</v>
      </c>
      <c r="K3" s="4">
        <v>1.02101</v>
      </c>
      <c r="L3" s="4">
        <v>1.046</v>
      </c>
    </row>
    <row r="4" spans="1:12" x14ac:dyDescent="0.25">
      <c r="A4" s="1" t="s">
        <v>1</v>
      </c>
      <c r="B4" s="4">
        <v>3.022E-2</v>
      </c>
      <c r="C4" s="4">
        <v>5.2700000000000004E-3</v>
      </c>
      <c r="D4" s="4">
        <v>2.5999999999999999E-2</v>
      </c>
      <c r="E4" s="4">
        <v>0.161</v>
      </c>
      <c r="F4" s="4">
        <v>2.5999999999999999E-2</v>
      </c>
      <c r="G4" s="4">
        <v>2.5999999999999999E-2</v>
      </c>
      <c r="H4" s="4">
        <v>2.5999999999999999E-2</v>
      </c>
      <c r="I4" s="4">
        <v>2.8000000000000001E-2</v>
      </c>
      <c r="J4" s="4">
        <v>4.8000000000000001E-2</v>
      </c>
      <c r="K4" s="4">
        <v>6.3E-2</v>
      </c>
      <c r="L4" s="4">
        <v>0.19900000000000001</v>
      </c>
    </row>
    <row r="5" spans="1:12" x14ac:dyDescent="0.25">
      <c r="A5" s="1" t="s">
        <v>2</v>
      </c>
      <c r="B5" s="4">
        <v>4.3749999999999997E-2</v>
      </c>
      <c r="C5" s="4">
        <v>1.025E-2</v>
      </c>
      <c r="D5" s="4">
        <v>3.3000000000000002E-2</v>
      </c>
      <c r="E5" s="4">
        <v>0.188</v>
      </c>
      <c r="F5" s="4">
        <v>3.3099999999999997E-2</v>
      </c>
      <c r="G5" s="4">
        <v>3.4000000000000002E-2</v>
      </c>
      <c r="H5" s="4">
        <v>3.5000000000000003E-2</v>
      </c>
      <c r="I5" s="4">
        <v>4.2000000000000003E-2</v>
      </c>
      <c r="J5" s="4">
        <v>7.8E-2</v>
      </c>
      <c r="K5" s="4">
        <v>9.7009999999999999E-2</v>
      </c>
      <c r="L5" s="4">
        <v>0.19900000000000001</v>
      </c>
    </row>
    <row r="6" spans="1:12" x14ac:dyDescent="0.25">
      <c r="A6" s="1" t="s">
        <v>3</v>
      </c>
      <c r="B6" s="4">
        <v>2.4400000000000002E-2</v>
      </c>
      <c r="C6" s="4">
        <v>4.1399999999999996E-3</v>
      </c>
      <c r="D6" s="4">
        <v>0.02</v>
      </c>
      <c r="E6" s="4">
        <v>7.5999999999999998E-2</v>
      </c>
      <c r="F6" s="4">
        <v>0.02</v>
      </c>
      <c r="G6" s="4">
        <v>0.02</v>
      </c>
      <c r="H6" s="4">
        <v>2.1000000000000001E-2</v>
      </c>
      <c r="I6" s="4">
        <v>2.3E-2</v>
      </c>
      <c r="J6" s="4">
        <v>4.3999999999999997E-2</v>
      </c>
      <c r="K6" s="4">
        <v>5.5E-2</v>
      </c>
      <c r="L6" s="4">
        <v>0.14699999999999999</v>
      </c>
    </row>
    <row r="7" spans="1:12" x14ac:dyDescent="0.25">
      <c r="A7" s="1" t="s">
        <v>4</v>
      </c>
      <c r="B7" s="4">
        <v>1.436E-2</v>
      </c>
      <c r="C7" s="4">
        <v>2.5899999999999999E-3</v>
      </c>
      <c r="D7" s="4">
        <v>1.2E-2</v>
      </c>
      <c r="E7" s="4">
        <v>6.0999999999999999E-2</v>
      </c>
      <c r="F7" s="4">
        <v>1.2E-2</v>
      </c>
      <c r="G7" s="4">
        <v>1.2E-2</v>
      </c>
      <c r="H7" s="4">
        <v>1.2E-2</v>
      </c>
      <c r="I7" s="4">
        <v>1.4E-2</v>
      </c>
      <c r="J7" s="4">
        <v>2.8000000000000001E-2</v>
      </c>
      <c r="K7" s="4">
        <v>3.7999999999999999E-2</v>
      </c>
      <c r="L7" s="4">
        <v>0.13702</v>
      </c>
    </row>
    <row r="8" spans="1:12" x14ac:dyDescent="0.25">
      <c r="A8" s="1"/>
      <c r="B8" s="4" t="s">
        <v>5</v>
      </c>
      <c r="C8" s="4" t="s">
        <v>5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4" t="s">
        <v>5</v>
      </c>
    </row>
    <row r="9" spans="1:12" x14ac:dyDescent="0.25">
      <c r="A9" s="1" t="s">
        <v>0</v>
      </c>
      <c r="B9" s="4">
        <v>3.1289999999999998E-2</v>
      </c>
      <c r="C9" s="4">
        <v>6.2599999999999999E-3</v>
      </c>
      <c r="D9" s="4">
        <v>2.7E-2</v>
      </c>
      <c r="E9" s="4">
        <v>0.16600000000000001</v>
      </c>
      <c r="F9" s="4">
        <v>2.7E-2</v>
      </c>
      <c r="G9" s="4">
        <v>2.7E-2</v>
      </c>
      <c r="H9" s="4">
        <v>2.7E-2</v>
      </c>
      <c r="I9" s="4">
        <v>2.8000000000000001E-2</v>
      </c>
      <c r="J9" s="4">
        <v>5.1999999999999998E-2</v>
      </c>
      <c r="K9" s="4">
        <v>0.11902</v>
      </c>
      <c r="L9" s="4">
        <v>0.1658</v>
      </c>
    </row>
    <row r="10" spans="1:12" x14ac:dyDescent="0.25">
      <c r="A10" s="1" t="s">
        <v>31</v>
      </c>
      <c r="B10" s="4">
        <v>0.62392999999999998</v>
      </c>
      <c r="C10" s="4">
        <v>6.3719999999999999E-2</v>
      </c>
      <c r="D10" s="4">
        <v>0.55200000000000005</v>
      </c>
      <c r="E10" s="4">
        <v>1.1240000000000001</v>
      </c>
      <c r="F10" s="4">
        <v>0.55200000000000005</v>
      </c>
      <c r="G10" s="4">
        <v>0.55200000000000005</v>
      </c>
      <c r="H10" s="4">
        <v>0.55300000000000005</v>
      </c>
      <c r="I10" s="4">
        <v>0.61099999999999999</v>
      </c>
      <c r="J10" s="4">
        <v>0.78102000000000005</v>
      </c>
      <c r="K10" s="4">
        <v>0.95199999999999996</v>
      </c>
      <c r="L10" s="4">
        <v>1.1132</v>
      </c>
    </row>
    <row r="11" spans="1:12" x14ac:dyDescent="0.25">
      <c r="A11" s="1" t="s">
        <v>1</v>
      </c>
      <c r="B11" s="4">
        <v>3.014E-2</v>
      </c>
      <c r="C11" s="4">
        <v>5.79E-3</v>
      </c>
      <c r="D11" s="4">
        <v>2.5999999999999999E-2</v>
      </c>
      <c r="E11" s="4">
        <v>0.16500000000000001</v>
      </c>
      <c r="F11" s="4">
        <v>2.5999999999999999E-2</v>
      </c>
      <c r="G11" s="4">
        <v>2.5999999999999999E-2</v>
      </c>
      <c r="H11" s="4">
        <v>2.5999999999999999E-2</v>
      </c>
      <c r="I11" s="4">
        <v>2.7E-2</v>
      </c>
      <c r="J11" s="4">
        <v>4.9000000000000002E-2</v>
      </c>
      <c r="K11" s="4">
        <v>6.9000000000000006E-2</v>
      </c>
      <c r="L11" s="4">
        <v>0.16489999999999999</v>
      </c>
    </row>
    <row r="12" spans="1:12" x14ac:dyDescent="0.25">
      <c r="A12" s="1" t="s">
        <v>2</v>
      </c>
      <c r="B12" s="4">
        <v>4.3839999999999997E-2</v>
      </c>
      <c r="C12" s="4">
        <v>9.8700000000000003E-3</v>
      </c>
      <c r="D12" s="4">
        <v>3.3000000000000002E-2</v>
      </c>
      <c r="E12" s="4">
        <v>0.191</v>
      </c>
      <c r="F12" s="4">
        <v>3.3099999999999997E-2</v>
      </c>
      <c r="G12" s="4">
        <v>3.4000000000000002E-2</v>
      </c>
      <c r="H12" s="4">
        <v>3.5000000000000003E-2</v>
      </c>
      <c r="I12" s="4">
        <v>4.2000000000000003E-2</v>
      </c>
      <c r="J12" s="4">
        <v>7.7009999999999995E-2</v>
      </c>
      <c r="K12" s="4">
        <v>9.4E-2</v>
      </c>
      <c r="L12" s="4">
        <v>0.1888</v>
      </c>
    </row>
    <row r="13" spans="1:12" x14ac:dyDescent="0.25">
      <c r="A13" s="1" t="s">
        <v>3</v>
      </c>
      <c r="B13" s="4">
        <v>2.4490000000000001E-2</v>
      </c>
      <c r="C13" s="4">
        <v>5.11E-3</v>
      </c>
      <c r="D13" s="4">
        <v>0.02</v>
      </c>
      <c r="E13" s="4">
        <v>0.17599999999999999</v>
      </c>
      <c r="F13" s="4">
        <v>0.02</v>
      </c>
      <c r="G13" s="4">
        <v>0.02</v>
      </c>
      <c r="H13" s="4">
        <v>0.02</v>
      </c>
      <c r="I13" s="4">
        <v>2.3E-2</v>
      </c>
      <c r="J13" s="4">
        <v>4.4999999999999998E-2</v>
      </c>
      <c r="K13" s="4">
        <v>0.06</v>
      </c>
      <c r="L13" s="4">
        <v>0.17469999999999999</v>
      </c>
    </row>
    <row r="14" spans="1:12" x14ac:dyDescent="0.25">
      <c r="A14" s="1" t="s">
        <v>4</v>
      </c>
      <c r="B14" s="4">
        <v>1.436E-2</v>
      </c>
      <c r="C14" s="4">
        <v>2.7899999999999999E-3</v>
      </c>
      <c r="D14" s="4">
        <v>1.2E-2</v>
      </c>
      <c r="E14" s="4">
        <v>0.14399999999999999</v>
      </c>
      <c r="F14" s="4">
        <v>1.2E-2</v>
      </c>
      <c r="G14" s="4">
        <v>1.2E-2</v>
      </c>
      <c r="H14" s="4">
        <v>1.2E-2</v>
      </c>
      <c r="I14" s="4">
        <v>1.4E-2</v>
      </c>
      <c r="J14" s="4">
        <v>2.7E-2</v>
      </c>
      <c r="K14" s="4">
        <v>0.04</v>
      </c>
      <c r="L14" s="4">
        <v>0.1356</v>
      </c>
    </row>
    <row r="15" spans="1:12" x14ac:dyDescent="0.25">
      <c r="A15" s="1"/>
      <c r="B15" s="4" t="s">
        <v>5</v>
      </c>
      <c r="C15" s="4" t="s">
        <v>5</v>
      </c>
      <c r="D15" s="4" t="s">
        <v>5</v>
      </c>
      <c r="E15" s="4" t="s">
        <v>5</v>
      </c>
      <c r="F15" s="4" t="s">
        <v>5</v>
      </c>
      <c r="G15" s="4" t="s">
        <v>5</v>
      </c>
      <c r="H15" s="4" t="s">
        <v>5</v>
      </c>
      <c r="I15" s="4" t="s">
        <v>5</v>
      </c>
      <c r="J15" s="4" t="s">
        <v>5</v>
      </c>
      <c r="K15" s="4" t="s">
        <v>5</v>
      </c>
      <c r="L15" s="4" t="s">
        <v>5</v>
      </c>
    </row>
    <row r="16" spans="1:12" x14ac:dyDescent="0.25">
      <c r="A16" s="1" t="s">
        <v>0</v>
      </c>
      <c r="B16" s="4">
        <v>3.1449999999999999E-2</v>
      </c>
      <c r="C16" s="4">
        <v>5.4099999999999999E-3</v>
      </c>
      <c r="D16" s="4">
        <v>2.7E-2</v>
      </c>
      <c r="E16" s="4">
        <v>0.161</v>
      </c>
      <c r="F16" s="4">
        <v>2.7E-2</v>
      </c>
      <c r="G16" s="4">
        <v>2.7E-2</v>
      </c>
      <c r="H16" s="4">
        <v>2.7E-2</v>
      </c>
      <c r="I16" s="4">
        <v>2.8000000000000001E-2</v>
      </c>
      <c r="J16" s="4">
        <v>5.2010000000000001E-2</v>
      </c>
      <c r="K16" s="4">
        <v>6.7000000000000004E-2</v>
      </c>
      <c r="L16" s="4">
        <v>0.16</v>
      </c>
    </row>
    <row r="17" spans="1:12" x14ac:dyDescent="0.25">
      <c r="A17" s="1" t="s">
        <v>31</v>
      </c>
      <c r="B17" s="4">
        <v>0.62295</v>
      </c>
      <c r="C17" s="4">
        <v>6.7500000000000004E-2</v>
      </c>
      <c r="D17" s="4">
        <v>0.55200000000000005</v>
      </c>
      <c r="E17" s="4">
        <v>1.8</v>
      </c>
      <c r="F17" s="4">
        <v>0.55200000000000005</v>
      </c>
      <c r="G17" s="4">
        <v>0.55200000000000005</v>
      </c>
      <c r="H17" s="4">
        <v>0.55300000000000005</v>
      </c>
      <c r="I17" s="4">
        <v>0.61399999999999999</v>
      </c>
      <c r="J17" s="4">
        <v>0.77300999999999997</v>
      </c>
      <c r="K17" s="4">
        <v>1.10137</v>
      </c>
      <c r="L17" s="4">
        <v>1.798</v>
      </c>
    </row>
    <row r="18" spans="1:12" x14ac:dyDescent="0.25">
      <c r="A18" s="1" t="s">
        <v>1</v>
      </c>
      <c r="B18" s="4">
        <v>3.0360000000000002E-2</v>
      </c>
      <c r="C18" s="4">
        <v>5.4599999999999996E-3</v>
      </c>
      <c r="D18" s="4">
        <v>2.5999999999999999E-2</v>
      </c>
      <c r="E18" s="4">
        <v>0.183</v>
      </c>
      <c r="F18" s="4">
        <v>2.5999999999999999E-2</v>
      </c>
      <c r="G18" s="4">
        <v>2.5999999999999999E-2</v>
      </c>
      <c r="H18" s="4">
        <v>2.699E-2</v>
      </c>
      <c r="I18" s="4">
        <v>2.8000000000000001E-2</v>
      </c>
      <c r="J18" s="4">
        <v>4.8000000000000001E-2</v>
      </c>
      <c r="K18" s="4">
        <v>6.5000000000000002E-2</v>
      </c>
      <c r="L18" s="4">
        <v>0.18090000000000001</v>
      </c>
    </row>
    <row r="19" spans="1:12" x14ac:dyDescent="0.25">
      <c r="A19" s="1" t="s">
        <v>2</v>
      </c>
      <c r="B19" s="4">
        <v>4.4040000000000003E-2</v>
      </c>
      <c r="C19" s="4">
        <v>1.0359999999999999E-2</v>
      </c>
      <c r="D19" s="4">
        <v>3.3000000000000002E-2</v>
      </c>
      <c r="E19" s="4">
        <v>0.20399999999999999</v>
      </c>
      <c r="F19" s="4">
        <v>3.3099999999999997E-2</v>
      </c>
      <c r="G19" s="4">
        <v>3.4000000000000002E-2</v>
      </c>
      <c r="H19" s="4">
        <v>3.4000000000000002E-2</v>
      </c>
      <c r="I19" s="4">
        <v>4.2000000000000003E-2</v>
      </c>
      <c r="J19" s="4">
        <v>7.8009999999999996E-2</v>
      </c>
      <c r="K19" s="4">
        <v>9.9000000000000005E-2</v>
      </c>
      <c r="L19" s="4">
        <v>0.20250000000000001</v>
      </c>
    </row>
    <row r="20" spans="1:12" x14ac:dyDescent="0.25">
      <c r="A20" s="1" t="s">
        <v>3</v>
      </c>
      <c r="B20" s="4">
        <v>2.4729999999999999E-2</v>
      </c>
      <c r="C20" s="4">
        <v>4.81E-3</v>
      </c>
      <c r="D20" s="4">
        <v>0.02</v>
      </c>
      <c r="E20" s="4">
        <v>0.154</v>
      </c>
      <c r="F20" s="4">
        <v>0.02</v>
      </c>
      <c r="G20" s="4">
        <v>0.02</v>
      </c>
      <c r="H20" s="4">
        <v>0.02</v>
      </c>
      <c r="I20" s="4">
        <v>2.3E-2</v>
      </c>
      <c r="J20" s="4">
        <v>4.4999999999999998E-2</v>
      </c>
      <c r="K20" s="4">
        <v>5.7000000000000002E-2</v>
      </c>
      <c r="L20" s="4">
        <v>0.1532</v>
      </c>
    </row>
    <row r="21" spans="1:12" x14ac:dyDescent="0.25">
      <c r="A21" s="1" t="s">
        <v>4</v>
      </c>
      <c r="B21" s="4">
        <v>1.443E-2</v>
      </c>
      <c r="C21" s="4">
        <v>2.7200000000000002E-3</v>
      </c>
      <c r="D21" s="4">
        <v>1.2E-2</v>
      </c>
      <c r="E21" s="4">
        <v>0.14299999999999999</v>
      </c>
      <c r="F21" s="4">
        <v>1.2E-2</v>
      </c>
      <c r="G21" s="4">
        <v>1.2E-2</v>
      </c>
      <c r="H21" s="4">
        <v>1.2999999999999999E-2</v>
      </c>
      <c r="I21" s="4">
        <v>1.4E-2</v>
      </c>
      <c r="J21" s="4">
        <v>2.7E-2</v>
      </c>
      <c r="K21" s="4">
        <v>3.6999999999999998E-2</v>
      </c>
      <c r="L21" s="4">
        <v>0.13400000000000001</v>
      </c>
    </row>
    <row r="22" spans="1:12" x14ac:dyDescent="0.25">
      <c r="A22" s="1"/>
      <c r="B22" s="4" t="s">
        <v>5</v>
      </c>
      <c r="C22" s="4" t="s">
        <v>5</v>
      </c>
      <c r="D22" s="4" t="s">
        <v>5</v>
      </c>
      <c r="E22" s="4" t="s">
        <v>5</v>
      </c>
      <c r="F22" s="4" t="s">
        <v>5</v>
      </c>
      <c r="G22" s="4" t="s">
        <v>5</v>
      </c>
      <c r="H22" s="4" t="s">
        <v>5</v>
      </c>
      <c r="I22" s="4" t="s">
        <v>5</v>
      </c>
      <c r="J22" s="4" t="s">
        <v>5</v>
      </c>
      <c r="K22" s="4" t="s">
        <v>5</v>
      </c>
      <c r="L22" s="4" t="s">
        <v>5</v>
      </c>
    </row>
    <row r="23" spans="1:12" x14ac:dyDescent="0.25">
      <c r="A23" s="1" t="s">
        <v>0</v>
      </c>
      <c r="B23" s="4">
        <v>3.09E-2</v>
      </c>
      <c r="C23" s="4">
        <v>5.6899999999999997E-3</v>
      </c>
      <c r="D23" s="4">
        <v>2.7E-2</v>
      </c>
      <c r="E23" s="4">
        <v>0.16300000000000001</v>
      </c>
      <c r="F23" s="4">
        <v>2.7E-2</v>
      </c>
      <c r="G23" s="4">
        <v>2.7E-2</v>
      </c>
      <c r="H23" s="4">
        <v>2.7E-2</v>
      </c>
      <c r="I23" s="4">
        <v>2.8000000000000001E-2</v>
      </c>
      <c r="J23" s="4">
        <v>5.0999999999999997E-2</v>
      </c>
      <c r="K23" s="4">
        <v>7.1999999999999995E-2</v>
      </c>
      <c r="L23" s="4">
        <v>0.16239999999999999</v>
      </c>
    </row>
    <row r="24" spans="1:12" x14ac:dyDescent="0.25">
      <c r="A24" s="1" t="s">
        <v>31</v>
      </c>
      <c r="B24" s="4">
        <v>0.61909999999999998</v>
      </c>
      <c r="C24" s="4">
        <v>8.2619999999999999E-2</v>
      </c>
      <c r="D24" s="4">
        <v>0.55200000000000005</v>
      </c>
      <c r="E24" s="4">
        <v>2.66</v>
      </c>
      <c r="F24" s="4">
        <v>0.55200000000000005</v>
      </c>
      <c r="G24" s="4">
        <v>0.55200000000000005</v>
      </c>
      <c r="H24" s="4">
        <v>0.55300000000000005</v>
      </c>
      <c r="I24" s="4">
        <v>0.6</v>
      </c>
      <c r="J24" s="4">
        <v>0.80001</v>
      </c>
      <c r="K24" s="4">
        <v>1.06914</v>
      </c>
      <c r="L24" s="4">
        <v>2.6463999999999999</v>
      </c>
    </row>
    <row r="25" spans="1:12" x14ac:dyDescent="0.25">
      <c r="A25" s="1" t="s">
        <v>1</v>
      </c>
      <c r="B25" s="4">
        <v>3.0210000000000001E-2</v>
      </c>
      <c r="C25" s="4">
        <v>5.4299999999999999E-3</v>
      </c>
      <c r="D25" s="4">
        <v>2.5999999999999999E-2</v>
      </c>
      <c r="E25" s="4">
        <v>0.16900000000000001</v>
      </c>
      <c r="F25" s="4">
        <v>2.5999999999999999E-2</v>
      </c>
      <c r="G25" s="4">
        <v>2.5999999999999999E-2</v>
      </c>
      <c r="H25" s="4">
        <v>2.5999999999999999E-2</v>
      </c>
      <c r="I25" s="4">
        <v>2.8000000000000001E-2</v>
      </c>
      <c r="J25" s="4">
        <v>4.9000000000000002E-2</v>
      </c>
      <c r="K25" s="4">
        <v>6.9000000000000006E-2</v>
      </c>
      <c r="L25" s="4">
        <v>0.16880000000000001</v>
      </c>
    </row>
    <row r="26" spans="1:12" x14ac:dyDescent="0.25">
      <c r="A26" s="1" t="s">
        <v>2</v>
      </c>
      <c r="B26" s="4">
        <v>4.4339999999999997E-2</v>
      </c>
      <c r="C26" s="4">
        <v>1.272E-2</v>
      </c>
      <c r="D26" s="4">
        <v>3.4000000000000002E-2</v>
      </c>
      <c r="E26" s="4">
        <v>0.36099999999999999</v>
      </c>
      <c r="F26" s="4">
        <v>3.4000000000000002E-2</v>
      </c>
      <c r="G26" s="4">
        <v>3.4000000000000002E-2</v>
      </c>
      <c r="H26" s="4">
        <v>3.5000000000000003E-2</v>
      </c>
      <c r="I26" s="4">
        <v>0.04</v>
      </c>
      <c r="J26" s="4">
        <v>8.3000000000000004E-2</v>
      </c>
      <c r="K26" s="4">
        <v>0.17299999999999999</v>
      </c>
      <c r="L26" s="4">
        <v>0.35120000000000001</v>
      </c>
    </row>
    <row r="27" spans="1:12" x14ac:dyDescent="0.25">
      <c r="A27" s="1" t="s">
        <v>3</v>
      </c>
      <c r="B27" s="4">
        <v>2.3959999999999999E-2</v>
      </c>
      <c r="C27" s="4">
        <v>6.3E-3</v>
      </c>
      <c r="D27" s="4">
        <v>0.02</v>
      </c>
      <c r="E27" s="4">
        <v>0.17299999999999999</v>
      </c>
      <c r="F27" s="4">
        <v>0.02</v>
      </c>
      <c r="G27" s="4">
        <v>0.02</v>
      </c>
      <c r="H27" s="4">
        <v>0.02</v>
      </c>
      <c r="I27" s="4">
        <v>2.1999999999999999E-2</v>
      </c>
      <c r="J27" s="4">
        <v>4.7010000000000003E-2</v>
      </c>
      <c r="K27" s="4">
        <v>0.10004</v>
      </c>
      <c r="L27" s="4">
        <v>0.1721</v>
      </c>
    </row>
    <row r="28" spans="1:12" x14ac:dyDescent="0.25">
      <c r="A28" s="1" t="s">
        <v>4</v>
      </c>
      <c r="B28" s="4">
        <v>1.5219999999999999E-2</v>
      </c>
      <c r="C28" s="4">
        <v>5.1000000000000004E-3</v>
      </c>
      <c r="D28" s="4">
        <v>1.2E-2</v>
      </c>
      <c r="E28" s="4">
        <v>0.216</v>
      </c>
      <c r="F28" s="4">
        <v>1.2E-2</v>
      </c>
      <c r="G28" s="4">
        <v>1.2999999999999999E-2</v>
      </c>
      <c r="H28" s="4">
        <v>1.2999999999999999E-2</v>
      </c>
      <c r="I28" s="4">
        <v>1.4E-2</v>
      </c>
      <c r="J28" s="4">
        <v>3.3000000000000002E-2</v>
      </c>
      <c r="K28" s="4">
        <v>6.0999999999999999E-2</v>
      </c>
      <c r="L28" s="4">
        <v>0.21590000000000001</v>
      </c>
    </row>
    <row r="29" spans="1:12" x14ac:dyDescent="0.25">
      <c r="A29" s="1"/>
      <c r="B29" s="4" t="s">
        <v>5</v>
      </c>
      <c r="C29" s="4" t="s">
        <v>5</v>
      </c>
      <c r="D29" s="4" t="s">
        <v>5</v>
      </c>
      <c r="E29" s="4" t="s">
        <v>5</v>
      </c>
      <c r="F29" s="4" t="s">
        <v>5</v>
      </c>
      <c r="G29" s="4" t="s">
        <v>5</v>
      </c>
      <c r="H29" s="4" t="s">
        <v>5</v>
      </c>
      <c r="I29" s="4" t="s">
        <v>5</v>
      </c>
      <c r="J29" s="4" t="s">
        <v>5</v>
      </c>
      <c r="K29" s="4" t="s">
        <v>5</v>
      </c>
      <c r="L29" s="4" t="s">
        <v>5</v>
      </c>
    </row>
    <row r="30" spans="1:12" x14ac:dyDescent="0.25">
      <c r="A30" s="1" t="s">
        <v>0</v>
      </c>
      <c r="B30" s="4">
        <v>3.1309999999999998E-2</v>
      </c>
      <c r="C30" s="4">
        <v>7.3600000000000002E-3</v>
      </c>
      <c r="D30" s="4">
        <v>2.7E-2</v>
      </c>
      <c r="E30" s="4">
        <v>0.216</v>
      </c>
      <c r="F30" s="4">
        <v>2.7E-2</v>
      </c>
      <c r="G30" s="4">
        <v>2.7E-2</v>
      </c>
      <c r="H30" s="4">
        <v>2.7E-2</v>
      </c>
      <c r="I30" s="4">
        <v>2.8000000000000001E-2</v>
      </c>
      <c r="J30" s="4">
        <v>5.3999999999999999E-2</v>
      </c>
      <c r="K30" s="4">
        <v>0.151</v>
      </c>
      <c r="L30" s="4">
        <v>0.21540000000000001</v>
      </c>
    </row>
    <row r="31" spans="1:12" x14ac:dyDescent="0.25">
      <c r="A31" s="1" t="s">
        <v>31</v>
      </c>
      <c r="B31" s="4">
        <v>0.62699000000000005</v>
      </c>
      <c r="C31" s="4">
        <v>7.2160000000000002E-2</v>
      </c>
      <c r="D31" s="4">
        <v>0.55200000000000005</v>
      </c>
      <c r="E31" s="4">
        <v>1.746</v>
      </c>
      <c r="F31" s="4">
        <v>0.55200000000000005</v>
      </c>
      <c r="G31" s="4">
        <v>0.55200000000000005</v>
      </c>
      <c r="H31" s="4">
        <v>0.55300000000000005</v>
      </c>
      <c r="I31" s="4">
        <v>0.61250000000000004</v>
      </c>
      <c r="J31" s="4">
        <v>0.81001000000000001</v>
      </c>
      <c r="K31" s="4">
        <v>1.0663400000000001</v>
      </c>
      <c r="L31" s="4">
        <v>1.7446999999999999</v>
      </c>
    </row>
    <row r="32" spans="1:12" x14ac:dyDescent="0.25">
      <c r="A32" s="1" t="s">
        <v>1</v>
      </c>
      <c r="B32" s="4">
        <v>3.0259999999999999E-2</v>
      </c>
      <c r="C32" s="4">
        <v>5.7999999999999996E-3</v>
      </c>
      <c r="D32" s="4">
        <v>2.5999999999999999E-2</v>
      </c>
      <c r="E32" s="4">
        <v>0.16200000000000001</v>
      </c>
      <c r="F32" s="4">
        <v>2.5999999999999999E-2</v>
      </c>
      <c r="G32" s="4">
        <v>2.5999999999999999E-2</v>
      </c>
      <c r="H32" s="4">
        <v>2.5999999999999999E-2</v>
      </c>
      <c r="I32" s="4">
        <v>2.7E-2</v>
      </c>
      <c r="J32" s="4">
        <v>4.9000000000000002E-2</v>
      </c>
      <c r="K32" s="4">
        <v>8.4000000000000005E-2</v>
      </c>
      <c r="L32" s="4">
        <v>0.16139999999999999</v>
      </c>
    </row>
    <row r="33" spans="1:12" x14ac:dyDescent="0.25">
      <c r="A33" s="1" t="s">
        <v>2</v>
      </c>
      <c r="B33" s="4">
        <v>4.4240000000000002E-2</v>
      </c>
      <c r="C33" s="4">
        <v>1.0659999999999999E-2</v>
      </c>
      <c r="D33" s="4">
        <v>3.4000000000000002E-2</v>
      </c>
      <c r="E33" s="4">
        <v>0.188</v>
      </c>
      <c r="F33" s="4">
        <v>3.4000000000000002E-2</v>
      </c>
      <c r="G33" s="4">
        <v>3.4000000000000002E-2</v>
      </c>
      <c r="H33" s="4">
        <v>3.5000000000000003E-2</v>
      </c>
      <c r="I33" s="4">
        <v>4.2000000000000003E-2</v>
      </c>
      <c r="J33" s="4">
        <v>7.9000000000000001E-2</v>
      </c>
      <c r="K33" s="4">
        <v>0.11205</v>
      </c>
      <c r="L33" s="4">
        <v>0.18740000000000001</v>
      </c>
    </row>
    <row r="34" spans="1:12" x14ac:dyDescent="0.25">
      <c r="A34" s="1" t="s">
        <v>3</v>
      </c>
      <c r="B34" s="4">
        <v>2.4899999999999999E-2</v>
      </c>
      <c r="C34" s="4">
        <v>6.0000000000000001E-3</v>
      </c>
      <c r="D34" s="4">
        <v>0.02</v>
      </c>
      <c r="E34" s="4">
        <v>0.32</v>
      </c>
      <c r="F34" s="4">
        <v>0.02</v>
      </c>
      <c r="G34" s="4">
        <v>0.02</v>
      </c>
      <c r="H34" s="4">
        <v>0.02</v>
      </c>
      <c r="I34" s="4">
        <v>2.3E-2</v>
      </c>
      <c r="J34" s="4">
        <v>4.5010000000000001E-2</v>
      </c>
      <c r="K34" s="4">
        <v>7.8E-2</v>
      </c>
      <c r="L34" s="4">
        <v>0.307</v>
      </c>
    </row>
    <row r="35" spans="1:12" x14ac:dyDescent="0.25">
      <c r="A35" s="1" t="s">
        <v>4</v>
      </c>
      <c r="B35" s="4">
        <v>1.482E-2</v>
      </c>
      <c r="C35" s="4">
        <v>3.0999999999999999E-3</v>
      </c>
      <c r="D35" s="4">
        <v>1.2E-2</v>
      </c>
      <c r="E35" s="4">
        <v>0.14499999999999999</v>
      </c>
      <c r="F35" s="4">
        <v>1.2E-2</v>
      </c>
      <c r="G35" s="4">
        <v>1.2E-2</v>
      </c>
      <c r="H35" s="4">
        <v>1.2E-2</v>
      </c>
      <c r="I35" s="4">
        <v>1.4999999999999999E-2</v>
      </c>
      <c r="J35" s="4">
        <v>2.9000000000000001E-2</v>
      </c>
      <c r="K35" s="4">
        <v>3.9E-2</v>
      </c>
      <c r="L35" s="4">
        <v>0.13739999999999999</v>
      </c>
    </row>
    <row r="37" spans="1:12" x14ac:dyDescent="0.25">
      <c r="A37" t="s">
        <v>46</v>
      </c>
      <c r="B37" s="4">
        <f t="shared" ref="B37:L37" si="0">AVERAGE(B2,B9,B16,B23,B30)</f>
        <v>3.1139999999999994E-2</v>
      </c>
      <c r="C37">
        <f t="shared" si="0"/>
        <v>6.0219999999999996E-3</v>
      </c>
      <c r="D37">
        <f t="shared" si="0"/>
        <v>2.7000000000000003E-2</v>
      </c>
      <c r="E37">
        <f t="shared" si="0"/>
        <v>0.1726</v>
      </c>
      <c r="F37">
        <f t="shared" si="0"/>
        <v>2.7000000000000003E-2</v>
      </c>
      <c r="G37">
        <f t="shared" si="0"/>
        <v>2.7000000000000003E-2</v>
      </c>
      <c r="H37">
        <f t="shared" si="0"/>
        <v>2.7000000000000003E-2</v>
      </c>
      <c r="I37">
        <f t="shared" si="0"/>
        <v>2.8000000000000004E-2</v>
      </c>
      <c r="J37">
        <f t="shared" si="0"/>
        <v>5.2201999999999991E-2</v>
      </c>
      <c r="K37">
        <f t="shared" si="0"/>
        <v>9.4803999999999999E-2</v>
      </c>
      <c r="L37">
        <f t="shared" si="0"/>
        <v>0.175122</v>
      </c>
    </row>
    <row r="38" spans="1:12" x14ac:dyDescent="0.25">
      <c r="A38" t="s">
        <v>45</v>
      </c>
      <c r="B38">
        <f t="shared" ref="B38:L38" si="1">AVERAGE(B3,B10,B17,B24,B31)</f>
        <v>0.621726</v>
      </c>
      <c r="C38">
        <f t="shared" si="1"/>
        <v>6.9935999999999998E-2</v>
      </c>
      <c r="D38">
        <f t="shared" si="1"/>
        <v>0.55200000000000005</v>
      </c>
      <c r="E38">
        <f t="shared" si="1"/>
        <v>1.7100000000000002</v>
      </c>
      <c r="F38">
        <f t="shared" si="1"/>
        <v>0.55180000000000007</v>
      </c>
      <c r="G38">
        <f t="shared" si="1"/>
        <v>0.55200000000000005</v>
      </c>
      <c r="H38">
        <f t="shared" si="1"/>
        <v>0.55300000000000005</v>
      </c>
      <c r="I38">
        <f t="shared" si="1"/>
        <v>0.60609999999999997</v>
      </c>
      <c r="J38">
        <f t="shared" si="1"/>
        <v>0.79361000000000004</v>
      </c>
      <c r="K38">
        <f t="shared" si="1"/>
        <v>1.0419719999999999</v>
      </c>
      <c r="L38">
        <f t="shared" si="1"/>
        <v>1.6696599999999999</v>
      </c>
    </row>
    <row r="39" spans="1:12" x14ac:dyDescent="0.25">
      <c r="A39" t="s">
        <v>47</v>
      </c>
      <c r="B39">
        <f t="shared" ref="B39:L39" si="2">AVERAGE(B4,B11,B18,B25,B32)</f>
        <v>3.0237999999999998E-2</v>
      </c>
      <c r="C39">
        <f t="shared" si="2"/>
        <v>5.5500000000000002E-3</v>
      </c>
      <c r="D39">
        <f t="shared" si="2"/>
        <v>2.6000000000000002E-2</v>
      </c>
      <c r="E39">
        <f t="shared" si="2"/>
        <v>0.16800000000000001</v>
      </c>
      <c r="F39">
        <f t="shared" si="2"/>
        <v>2.6000000000000002E-2</v>
      </c>
      <c r="G39">
        <f t="shared" si="2"/>
        <v>2.6000000000000002E-2</v>
      </c>
      <c r="H39">
        <f t="shared" si="2"/>
        <v>2.6197999999999999E-2</v>
      </c>
      <c r="I39">
        <f t="shared" si="2"/>
        <v>2.7600000000000003E-2</v>
      </c>
      <c r="J39">
        <f t="shared" si="2"/>
        <v>4.8599999999999997E-2</v>
      </c>
      <c r="K39">
        <f t="shared" si="2"/>
        <v>7.0000000000000007E-2</v>
      </c>
      <c r="L39">
        <f t="shared" si="2"/>
        <v>0.17499999999999999</v>
      </c>
    </row>
    <row r="40" spans="1:12" x14ac:dyDescent="0.25">
      <c r="A40" t="s">
        <v>41</v>
      </c>
      <c r="B40">
        <f t="shared" ref="B40:L40" si="3">AVERAGE(B5,B12,B19,B26,B33)</f>
        <v>4.4041999999999998E-2</v>
      </c>
      <c r="C40">
        <f t="shared" si="3"/>
        <v>1.0772E-2</v>
      </c>
      <c r="D40">
        <f t="shared" si="3"/>
        <v>3.3399999999999999E-2</v>
      </c>
      <c r="E40">
        <f t="shared" si="3"/>
        <v>0.22639999999999999</v>
      </c>
      <c r="F40">
        <f t="shared" si="3"/>
        <v>3.3460000000000004E-2</v>
      </c>
      <c r="G40">
        <f t="shared" si="3"/>
        <v>3.4000000000000002E-2</v>
      </c>
      <c r="H40">
        <f t="shared" si="3"/>
        <v>3.4800000000000005E-2</v>
      </c>
      <c r="I40">
        <f t="shared" si="3"/>
        <v>4.1600000000000005E-2</v>
      </c>
      <c r="J40">
        <f t="shared" si="3"/>
        <v>7.9003999999999991E-2</v>
      </c>
      <c r="K40">
        <f t="shared" si="3"/>
        <v>0.115012</v>
      </c>
      <c r="L40">
        <f t="shared" si="3"/>
        <v>0.22578000000000001</v>
      </c>
    </row>
    <row r="41" spans="1:12" x14ac:dyDescent="0.25">
      <c r="A41" t="s">
        <v>42</v>
      </c>
      <c r="B41">
        <f t="shared" ref="B41:L41" si="4">AVERAGE(B6,B13,B20,B27,B34)</f>
        <v>2.4496E-2</v>
      </c>
      <c r="C41">
        <f t="shared" si="4"/>
        <v>5.2720000000000006E-3</v>
      </c>
      <c r="D41">
        <f t="shared" si="4"/>
        <v>0.02</v>
      </c>
      <c r="E41">
        <f t="shared" si="4"/>
        <v>0.17980000000000002</v>
      </c>
      <c r="F41">
        <f t="shared" si="4"/>
        <v>0.02</v>
      </c>
      <c r="G41">
        <f t="shared" si="4"/>
        <v>0.02</v>
      </c>
      <c r="H41">
        <f t="shared" si="4"/>
        <v>2.0200000000000003E-2</v>
      </c>
      <c r="I41">
        <f t="shared" si="4"/>
        <v>2.2799999999999997E-2</v>
      </c>
      <c r="J41">
        <f t="shared" si="4"/>
        <v>4.5204000000000001E-2</v>
      </c>
      <c r="K41">
        <f t="shared" si="4"/>
        <v>7.0008000000000001E-2</v>
      </c>
      <c r="L41">
        <f t="shared" si="4"/>
        <v>0.1908</v>
      </c>
    </row>
    <row r="42" spans="1:12" x14ac:dyDescent="0.25">
      <c r="A42" t="s">
        <v>43</v>
      </c>
      <c r="B42">
        <f t="shared" ref="B42:L42" si="5">AVERAGE(B7,B14,B21,B28,B35)</f>
        <v>1.4638000000000002E-2</v>
      </c>
      <c r="C42">
        <f t="shared" si="5"/>
        <v>3.2599999999999999E-3</v>
      </c>
      <c r="D42">
        <f t="shared" si="5"/>
        <v>1.2E-2</v>
      </c>
      <c r="E42">
        <f t="shared" si="5"/>
        <v>0.14179999999999998</v>
      </c>
      <c r="F42">
        <f t="shared" si="5"/>
        <v>1.2E-2</v>
      </c>
      <c r="G42">
        <f t="shared" si="5"/>
        <v>1.2199999999999999E-2</v>
      </c>
      <c r="H42">
        <f t="shared" si="5"/>
        <v>1.24E-2</v>
      </c>
      <c r="I42">
        <f t="shared" si="5"/>
        <v>1.4200000000000001E-2</v>
      </c>
      <c r="J42">
        <f t="shared" si="5"/>
        <v>2.8800000000000003E-2</v>
      </c>
      <c r="K42">
        <f t="shared" si="5"/>
        <v>4.2999999999999997E-2</v>
      </c>
      <c r="L42" s="4">
        <f t="shared" si="5"/>
        <v>0.15198399999999998</v>
      </c>
    </row>
    <row r="43" spans="1:12" x14ac:dyDescent="0.25">
      <c r="D43">
        <f>MAX(D37:D42)</f>
        <v>0.55200000000000005</v>
      </c>
      <c r="E43">
        <f t="shared" ref="E43:L43" si="6">MAX(E37:E42)</f>
        <v>1.7100000000000002</v>
      </c>
      <c r="F43">
        <f t="shared" si="6"/>
        <v>0.55180000000000007</v>
      </c>
      <c r="G43">
        <f t="shared" si="6"/>
        <v>0.55200000000000005</v>
      </c>
      <c r="H43">
        <f t="shared" si="6"/>
        <v>0.55300000000000005</v>
      </c>
      <c r="I43">
        <f t="shared" si="6"/>
        <v>0.60609999999999997</v>
      </c>
      <c r="J43">
        <f t="shared" si="6"/>
        <v>0.79361000000000004</v>
      </c>
      <c r="K43">
        <f t="shared" si="6"/>
        <v>1.0419719999999999</v>
      </c>
      <c r="L43">
        <f t="shared" si="6"/>
        <v>1.6696599999999999</v>
      </c>
    </row>
    <row r="44" spans="1:12" x14ac:dyDescent="0.25">
      <c r="A44" t="s">
        <v>18</v>
      </c>
    </row>
    <row r="45" spans="1:12" x14ac:dyDescent="0.25">
      <c r="A45" t="str">
        <f t="shared" ref="A45:A50" si="7">A37</f>
        <v>Скалярный</v>
      </c>
      <c r="B45">
        <f t="shared" ref="B45:B50" si="8">C30/B30*100</f>
        <v>23.506866815713831</v>
      </c>
      <c r="D45" s="6">
        <f>D43/D37</f>
        <v>20.444444444444443</v>
      </c>
      <c r="E45" s="6">
        <f t="shared" ref="E45:L45" si="9">E43/E37</f>
        <v>9.9073001158748557</v>
      </c>
      <c r="F45" s="6">
        <f t="shared" si="9"/>
        <v>20.437037037037037</v>
      </c>
      <c r="G45" s="6">
        <f t="shared" si="9"/>
        <v>20.444444444444443</v>
      </c>
      <c r="H45" s="6">
        <f t="shared" si="9"/>
        <v>20.481481481481481</v>
      </c>
      <c r="I45" s="6">
        <f t="shared" si="9"/>
        <v>21.646428571428569</v>
      </c>
      <c r="J45" s="6">
        <f t="shared" si="9"/>
        <v>15.202674227041113</v>
      </c>
      <c r="K45" s="6">
        <f t="shared" si="9"/>
        <v>10.990802075861778</v>
      </c>
      <c r="L45" s="6">
        <f t="shared" si="9"/>
        <v>9.5342675392012417</v>
      </c>
    </row>
    <row r="46" spans="1:12" x14ac:dyDescent="0.25">
      <c r="A46" t="str">
        <f t="shared" si="7"/>
        <v>Наивный</v>
      </c>
      <c r="B46">
        <f t="shared" si="8"/>
        <v>11.508955485733424</v>
      </c>
      <c r="D46" s="6">
        <f>D43/D38</f>
        <v>1</v>
      </c>
      <c r="E46" s="6">
        <f t="shared" ref="E46:L46" si="10">E43/E38</f>
        <v>1</v>
      </c>
      <c r="F46" s="6">
        <f t="shared" si="10"/>
        <v>1</v>
      </c>
      <c r="G46" s="6">
        <f t="shared" si="10"/>
        <v>1</v>
      </c>
      <c r="H46" s="6">
        <f t="shared" si="10"/>
        <v>1</v>
      </c>
      <c r="I46" s="6">
        <f t="shared" si="10"/>
        <v>1</v>
      </c>
      <c r="J46" s="6">
        <f t="shared" si="10"/>
        <v>1</v>
      </c>
      <c r="K46" s="6">
        <f t="shared" si="10"/>
        <v>1</v>
      </c>
      <c r="L46" s="6">
        <f t="shared" si="10"/>
        <v>1</v>
      </c>
    </row>
    <row r="47" spans="1:12" x14ac:dyDescent="0.25">
      <c r="A47" t="str">
        <f t="shared" si="7"/>
        <v>Скалярный опт.</v>
      </c>
      <c r="B47">
        <f t="shared" si="8"/>
        <v>19.167217448777262</v>
      </c>
      <c r="D47" s="6">
        <f>D43/D39</f>
        <v>21.23076923076923</v>
      </c>
      <c r="E47" s="6">
        <f t="shared" ref="E47:L47" si="11">E43/E39</f>
        <v>10.178571428571429</v>
      </c>
      <c r="F47" s="6">
        <f t="shared" si="11"/>
        <v>21.223076923076924</v>
      </c>
      <c r="G47" s="6">
        <f t="shared" si="11"/>
        <v>21.23076923076923</v>
      </c>
      <c r="H47" s="6">
        <f t="shared" si="11"/>
        <v>21.108481563478129</v>
      </c>
      <c r="I47" s="6">
        <f t="shared" si="11"/>
        <v>21.960144927536227</v>
      </c>
      <c r="J47" s="6">
        <f t="shared" si="11"/>
        <v>16.329423868312759</v>
      </c>
      <c r="K47" s="6">
        <f t="shared" si="11"/>
        <v>14.885314285714283</v>
      </c>
      <c r="L47" s="6">
        <f t="shared" si="11"/>
        <v>9.540914285714285</v>
      </c>
    </row>
    <row r="48" spans="1:12" x14ac:dyDescent="0.25">
      <c r="A48" t="str">
        <f t="shared" si="7"/>
        <v>SSE</v>
      </c>
      <c r="B48">
        <f t="shared" si="8"/>
        <v>24.095840867992766</v>
      </c>
      <c r="D48" s="6">
        <f>D43/D40</f>
        <v>16.526946107784433</v>
      </c>
      <c r="E48" s="6">
        <f t="shared" ref="E48:L48" si="12">E43/E40</f>
        <v>7.5530035335689059</v>
      </c>
      <c r="F48" s="6">
        <f t="shared" si="12"/>
        <v>16.491332934847581</v>
      </c>
      <c r="G48" s="6">
        <f t="shared" si="12"/>
        <v>16.235294117647058</v>
      </c>
      <c r="H48" s="6">
        <f t="shared" si="12"/>
        <v>15.890804597701148</v>
      </c>
      <c r="I48" s="6">
        <f t="shared" si="12"/>
        <v>14.569711538461537</v>
      </c>
      <c r="J48" s="6">
        <f t="shared" si="12"/>
        <v>10.045187585438713</v>
      </c>
      <c r="K48" s="6">
        <f t="shared" si="12"/>
        <v>9.0596807289674111</v>
      </c>
      <c r="L48" s="6">
        <f t="shared" si="12"/>
        <v>7.3950748516254752</v>
      </c>
    </row>
    <row r="49" spans="1:12" x14ac:dyDescent="0.25">
      <c r="A49" t="str">
        <f t="shared" si="7"/>
        <v>SSE 2</v>
      </c>
      <c r="B49">
        <f t="shared" si="8"/>
        <v>24.096385542168676</v>
      </c>
      <c r="D49" s="6">
        <f>D43/D41</f>
        <v>27.6</v>
      </c>
      <c r="E49" s="6">
        <f t="shared" ref="E49:L49" si="13">E43/E41</f>
        <v>9.5105672969966637</v>
      </c>
      <c r="F49" s="6">
        <f t="shared" si="13"/>
        <v>27.590000000000003</v>
      </c>
      <c r="G49" s="6">
        <f t="shared" si="13"/>
        <v>27.6</v>
      </c>
      <c r="H49" s="6">
        <f t="shared" si="13"/>
        <v>27.376237623762375</v>
      </c>
      <c r="I49" s="6">
        <f t="shared" si="13"/>
        <v>26.583333333333336</v>
      </c>
      <c r="J49" s="6">
        <f t="shared" si="13"/>
        <v>17.556189717724095</v>
      </c>
      <c r="K49" s="6">
        <f t="shared" si="13"/>
        <v>14.883613301336988</v>
      </c>
      <c r="L49" s="6">
        <f t="shared" si="13"/>
        <v>8.7508385744234793</v>
      </c>
    </row>
    <row r="50" spans="1:12" x14ac:dyDescent="0.25">
      <c r="A50" t="str">
        <f t="shared" si="7"/>
        <v>AVX</v>
      </c>
      <c r="B50">
        <f t="shared" si="8"/>
        <v>20.917678812415655</v>
      </c>
      <c r="D50" s="6">
        <f>D43/D42</f>
        <v>46</v>
      </c>
      <c r="E50" s="6">
        <f t="shared" ref="E50:L50" si="14">E43/E42</f>
        <v>12.05923836389281</v>
      </c>
      <c r="F50" s="6">
        <f t="shared" si="14"/>
        <v>45.983333333333341</v>
      </c>
      <c r="G50" s="6">
        <f t="shared" si="14"/>
        <v>45.245901639344268</v>
      </c>
      <c r="H50" s="6">
        <f t="shared" si="14"/>
        <v>44.596774193548391</v>
      </c>
      <c r="I50" s="6">
        <f t="shared" si="14"/>
        <v>42.683098591549289</v>
      </c>
      <c r="J50" s="6">
        <f t="shared" si="14"/>
        <v>27.555902777777778</v>
      </c>
      <c r="K50" s="6">
        <f t="shared" si="14"/>
        <v>24.231906976744185</v>
      </c>
      <c r="L50" s="6">
        <f t="shared" si="14"/>
        <v>10.985761659122014</v>
      </c>
    </row>
  </sheetData>
  <conditionalFormatting sqref="B37:B4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C4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D4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7:E4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7:F42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7:G42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7:H4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7:I4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7:J4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7:K4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7:L4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B5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D4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5:L5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5:E5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:J5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5:K5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5:L5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5:I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40D3-E5BB-416F-A501-DCCA714B4B72}">
  <dimension ref="A1:L42"/>
  <sheetViews>
    <sheetView topLeftCell="A10" workbookViewId="0">
      <selection activeCell="M37" sqref="M37:M42"/>
    </sheetView>
  </sheetViews>
  <sheetFormatPr defaultRowHeight="15" x14ac:dyDescent="0.25"/>
  <cols>
    <col min="1" max="1" width="12.85546875" bestFit="1" customWidth="1"/>
    <col min="2" max="9" width="11.140625" bestFit="1" customWidth="1"/>
    <col min="10" max="12" width="12.140625" bestFit="1" customWidth="1"/>
  </cols>
  <sheetData>
    <row r="1" spans="1:12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 x14ac:dyDescent="0.25">
      <c r="A2" s="1" t="s">
        <v>0</v>
      </c>
      <c r="B2" s="4">
        <v>3.5779999999999999E-2</v>
      </c>
      <c r="C2" s="4">
        <v>9.3699999999999999E-3</v>
      </c>
      <c r="D2" s="4">
        <v>3.1E-2</v>
      </c>
      <c r="E2" s="4">
        <v>0.28100000000000003</v>
      </c>
      <c r="F2" s="4">
        <v>3.1E-2</v>
      </c>
      <c r="G2" s="4">
        <v>3.1E-2</v>
      </c>
      <c r="H2" s="4">
        <v>3.2000000000000001E-2</v>
      </c>
      <c r="I2" s="4">
        <v>3.3000000000000002E-2</v>
      </c>
      <c r="J2" s="4">
        <v>6.3E-2</v>
      </c>
      <c r="K2" s="4">
        <v>0.158</v>
      </c>
      <c r="L2" s="4">
        <v>0.27650000000000002</v>
      </c>
    </row>
    <row r="3" spans="1:12" x14ac:dyDescent="0.25">
      <c r="A3" s="1" t="s">
        <v>31</v>
      </c>
      <c r="B3" s="4">
        <v>0.61297999999999997</v>
      </c>
      <c r="C3" s="4">
        <v>7.102E-2</v>
      </c>
      <c r="D3" s="4">
        <v>0.55500000000000005</v>
      </c>
      <c r="E3" s="4">
        <v>1.292</v>
      </c>
      <c r="F3" s="4">
        <v>0.55500000000000005</v>
      </c>
      <c r="G3" s="4">
        <v>0.55600000000000005</v>
      </c>
      <c r="H3" s="4">
        <v>0.55600000000000005</v>
      </c>
      <c r="I3" s="4">
        <v>0.58199999999999996</v>
      </c>
      <c r="J3" s="4">
        <v>0.88600000000000001</v>
      </c>
      <c r="K3" s="4">
        <v>1.03901</v>
      </c>
      <c r="L3" s="4">
        <v>1.2859</v>
      </c>
    </row>
    <row r="4" spans="1:12" x14ac:dyDescent="0.25">
      <c r="A4" s="1" t="s">
        <v>1</v>
      </c>
      <c r="B4" s="4">
        <v>3.4709999999999998E-2</v>
      </c>
      <c r="C4" s="4">
        <v>6.4400000000000004E-3</v>
      </c>
      <c r="D4" s="4">
        <v>0.03</v>
      </c>
      <c r="E4" s="4">
        <v>0.17199999999999999</v>
      </c>
      <c r="F4" s="4">
        <v>0.03</v>
      </c>
      <c r="G4" s="4">
        <v>0.03</v>
      </c>
      <c r="H4" s="4">
        <v>3.1E-2</v>
      </c>
      <c r="I4" s="4">
        <v>3.2000000000000001E-2</v>
      </c>
      <c r="J4" s="4">
        <v>5.8000000000000003E-2</v>
      </c>
      <c r="K4" s="4">
        <v>0.08</v>
      </c>
      <c r="L4" s="4">
        <v>0.17199999999999999</v>
      </c>
    </row>
    <row r="5" spans="1:12" x14ac:dyDescent="0.25">
      <c r="A5" s="1" t="s">
        <v>2</v>
      </c>
      <c r="B5" s="4">
        <v>4.8489999999999998E-2</v>
      </c>
      <c r="C5" s="4">
        <v>1.1950000000000001E-2</v>
      </c>
      <c r="D5" s="4">
        <v>3.7999999999999999E-2</v>
      </c>
      <c r="E5" s="4">
        <v>0.20799999999999999</v>
      </c>
      <c r="F5" s="4">
        <v>3.7999999999999999E-2</v>
      </c>
      <c r="G5" s="4">
        <v>3.7999999999999999E-2</v>
      </c>
      <c r="H5" s="4">
        <v>3.9E-2</v>
      </c>
      <c r="I5" s="4">
        <v>4.3999999999999997E-2</v>
      </c>
      <c r="J5" s="4">
        <v>8.6999999999999994E-2</v>
      </c>
      <c r="K5" s="4">
        <v>0.17199999999999999</v>
      </c>
      <c r="L5" s="4">
        <v>0.2077</v>
      </c>
    </row>
    <row r="6" spans="1:12" x14ac:dyDescent="0.25">
      <c r="A6" s="1" t="s">
        <v>3</v>
      </c>
      <c r="B6" s="4">
        <v>2.9690000000000001E-2</v>
      </c>
      <c r="C6" s="4">
        <v>6.2100000000000002E-3</v>
      </c>
      <c r="D6" s="4">
        <v>2.4E-2</v>
      </c>
      <c r="E6" s="4">
        <v>0.16400000000000001</v>
      </c>
      <c r="F6" s="4">
        <v>2.4E-2</v>
      </c>
      <c r="G6" s="4">
        <v>2.4E-2</v>
      </c>
      <c r="H6" s="4">
        <v>2.5000000000000001E-2</v>
      </c>
      <c r="I6" s="4">
        <v>2.8000000000000001E-2</v>
      </c>
      <c r="J6" s="4">
        <v>5.1999999999999998E-2</v>
      </c>
      <c r="K6" s="4">
        <v>0.10101</v>
      </c>
      <c r="L6" s="4">
        <v>0.1638</v>
      </c>
    </row>
    <row r="7" spans="1:12" x14ac:dyDescent="0.25">
      <c r="A7" s="1" t="s">
        <v>4</v>
      </c>
      <c r="B7" s="4">
        <v>1.9310000000000001E-2</v>
      </c>
      <c r="C7" s="4">
        <v>5.3099999999999996E-3</v>
      </c>
      <c r="D7" s="4">
        <v>1.6E-2</v>
      </c>
      <c r="E7" s="4">
        <v>0.30499999999999999</v>
      </c>
      <c r="F7" s="4">
        <v>1.6E-2</v>
      </c>
      <c r="G7" s="4">
        <v>1.7000000000000001E-2</v>
      </c>
      <c r="H7" s="4">
        <v>1.7000000000000001E-2</v>
      </c>
      <c r="I7" s="4">
        <v>1.7999999999999999E-2</v>
      </c>
      <c r="J7" s="4">
        <v>3.5999999999999997E-2</v>
      </c>
      <c r="K7" s="4">
        <v>7.1999999999999995E-2</v>
      </c>
      <c r="L7" s="4">
        <v>0.28939999999999999</v>
      </c>
    </row>
    <row r="8" spans="1:12" x14ac:dyDescent="0.25">
      <c r="A8" s="1" t="s">
        <v>32</v>
      </c>
      <c r="B8" s="4" t="s">
        <v>5</v>
      </c>
      <c r="C8" s="4" t="s">
        <v>5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4" t="s">
        <v>5</v>
      </c>
    </row>
    <row r="9" spans="1:12" x14ac:dyDescent="0.25">
      <c r="A9" s="1" t="s">
        <v>0</v>
      </c>
      <c r="B9" s="4">
        <v>3.5680000000000003E-2</v>
      </c>
      <c r="C9" s="4">
        <v>6.8199999999999997E-3</v>
      </c>
      <c r="D9" s="4">
        <v>3.1E-2</v>
      </c>
      <c r="E9" s="4">
        <v>0.183</v>
      </c>
      <c r="F9" s="4">
        <v>3.1E-2</v>
      </c>
      <c r="G9" s="4">
        <v>3.1E-2</v>
      </c>
      <c r="H9" s="4">
        <v>3.1E-2</v>
      </c>
      <c r="I9" s="4">
        <v>3.3000000000000002E-2</v>
      </c>
      <c r="J9" s="4">
        <v>5.6000000000000001E-2</v>
      </c>
      <c r="K9" s="4">
        <v>9.7000000000000003E-2</v>
      </c>
      <c r="L9" s="4">
        <v>0.1827</v>
      </c>
    </row>
    <row r="10" spans="1:12" x14ac:dyDescent="0.25">
      <c r="A10" s="1" t="s">
        <v>31</v>
      </c>
      <c r="B10" s="4">
        <v>0.62548999999999999</v>
      </c>
      <c r="C10" s="4">
        <v>7.0980000000000001E-2</v>
      </c>
      <c r="D10" s="4">
        <v>0.55500000000000005</v>
      </c>
      <c r="E10" s="4">
        <v>1.3</v>
      </c>
      <c r="F10" s="4">
        <v>0.55500000000000005</v>
      </c>
      <c r="G10" s="4">
        <v>0.55600000000000005</v>
      </c>
      <c r="H10" s="4">
        <v>0.55700000000000005</v>
      </c>
      <c r="I10" s="4">
        <v>0.60099999999999998</v>
      </c>
      <c r="J10" s="4">
        <v>0.86399999999999999</v>
      </c>
      <c r="K10" s="4">
        <v>1.002</v>
      </c>
      <c r="L10" s="4">
        <v>1.29</v>
      </c>
    </row>
    <row r="11" spans="1:12" x14ac:dyDescent="0.25">
      <c r="A11" s="1" t="s">
        <v>1</v>
      </c>
      <c r="B11" s="4">
        <v>3.4709999999999998E-2</v>
      </c>
      <c r="C11" s="4">
        <v>6.9699999999999996E-3</v>
      </c>
      <c r="D11" s="4">
        <v>0.03</v>
      </c>
      <c r="E11" s="4">
        <v>0.185</v>
      </c>
      <c r="F11" s="4">
        <v>0.03</v>
      </c>
      <c r="G11" s="4">
        <v>0.03</v>
      </c>
      <c r="H11" s="4">
        <v>0.03</v>
      </c>
      <c r="I11" s="4">
        <v>3.2000000000000001E-2</v>
      </c>
      <c r="J11" s="4">
        <v>0.06</v>
      </c>
      <c r="K11" s="4">
        <v>0.08</v>
      </c>
      <c r="L11" s="4">
        <v>0.18410000000000001</v>
      </c>
    </row>
    <row r="12" spans="1:12" x14ac:dyDescent="0.25">
      <c r="A12" s="1" t="s">
        <v>2</v>
      </c>
      <c r="B12" s="4">
        <v>4.9790000000000001E-2</v>
      </c>
      <c r="C12" s="4">
        <v>1.325E-2</v>
      </c>
      <c r="D12" s="4">
        <v>3.7999999999999999E-2</v>
      </c>
      <c r="E12" s="4">
        <v>0.36799999999999999</v>
      </c>
      <c r="F12" s="4">
        <v>3.7999999999999999E-2</v>
      </c>
      <c r="G12" s="4">
        <v>3.7999999999999999E-2</v>
      </c>
      <c r="H12" s="4">
        <v>3.9E-2</v>
      </c>
      <c r="I12" s="4">
        <v>4.7E-2</v>
      </c>
      <c r="J12" s="4">
        <v>9.0999999999999998E-2</v>
      </c>
      <c r="K12" s="4">
        <v>0.189</v>
      </c>
      <c r="L12" s="4">
        <v>0.35549999999999998</v>
      </c>
    </row>
    <row r="13" spans="1:12" x14ac:dyDescent="0.25">
      <c r="A13" s="1" t="s">
        <v>3</v>
      </c>
      <c r="B13" s="4">
        <v>3.0159999999999999E-2</v>
      </c>
      <c r="C13" s="4">
        <v>7.3800000000000003E-3</v>
      </c>
      <c r="D13" s="4">
        <v>2.4E-2</v>
      </c>
      <c r="E13" s="4">
        <v>0.18099999999999999</v>
      </c>
      <c r="F13" s="4">
        <v>2.4E-2</v>
      </c>
      <c r="G13" s="4">
        <v>2.4E-2</v>
      </c>
      <c r="H13" s="4">
        <v>2.5000000000000001E-2</v>
      </c>
      <c r="I13" s="4">
        <v>2.8000000000000001E-2</v>
      </c>
      <c r="J13" s="4">
        <v>5.5E-2</v>
      </c>
      <c r="K13" s="4">
        <v>0.12503</v>
      </c>
      <c r="L13" s="4">
        <v>0.1804</v>
      </c>
    </row>
    <row r="14" spans="1:12" x14ac:dyDescent="0.25">
      <c r="A14" s="1" t="s">
        <v>4</v>
      </c>
      <c r="B14" s="4">
        <v>1.9429999999999999E-2</v>
      </c>
      <c r="C14" s="4">
        <v>4.8700000000000002E-3</v>
      </c>
      <c r="D14" s="4">
        <v>1.6E-2</v>
      </c>
      <c r="E14" s="4">
        <v>0.16500000000000001</v>
      </c>
      <c r="F14" s="4">
        <v>1.6E-2</v>
      </c>
      <c r="G14" s="4">
        <v>1.6E-2</v>
      </c>
      <c r="H14" s="4">
        <v>1.7000000000000001E-2</v>
      </c>
      <c r="I14" s="4">
        <v>1.7999999999999999E-2</v>
      </c>
      <c r="J14" s="4">
        <v>3.5999999999999997E-2</v>
      </c>
      <c r="K14" s="4">
        <v>6.4009999999999997E-2</v>
      </c>
      <c r="L14" s="4">
        <v>0.1638</v>
      </c>
    </row>
    <row r="15" spans="1:12" x14ac:dyDescent="0.25">
      <c r="A15" s="1" t="s">
        <v>32</v>
      </c>
      <c r="B15" s="4" t="s">
        <v>5</v>
      </c>
      <c r="C15" s="4" t="s">
        <v>5</v>
      </c>
      <c r="D15" s="4" t="s">
        <v>5</v>
      </c>
      <c r="E15" s="4" t="s">
        <v>5</v>
      </c>
      <c r="F15" s="4" t="s">
        <v>5</v>
      </c>
      <c r="G15" s="4" t="s">
        <v>5</v>
      </c>
      <c r="H15" s="4" t="s">
        <v>5</v>
      </c>
      <c r="I15" s="4" t="s">
        <v>5</v>
      </c>
      <c r="J15" s="4" t="s">
        <v>5</v>
      </c>
      <c r="K15" s="4" t="s">
        <v>5</v>
      </c>
      <c r="L15" s="4" t="s">
        <v>5</v>
      </c>
    </row>
    <row r="16" spans="1:12" x14ac:dyDescent="0.25">
      <c r="A16" s="1" t="s">
        <v>0</v>
      </c>
      <c r="B16" s="4">
        <v>3.5150000000000001E-2</v>
      </c>
      <c r="C16" s="4">
        <v>7.6499999999999997E-3</v>
      </c>
      <c r="D16" s="4">
        <v>3.1E-2</v>
      </c>
      <c r="E16" s="4">
        <v>0.17899999999999999</v>
      </c>
      <c r="F16" s="4">
        <v>3.1E-2</v>
      </c>
      <c r="G16" s="4">
        <v>3.1E-2</v>
      </c>
      <c r="H16" s="4">
        <v>3.1E-2</v>
      </c>
      <c r="I16" s="4">
        <v>3.2000000000000001E-2</v>
      </c>
      <c r="J16" s="4">
        <v>5.8000000000000003E-2</v>
      </c>
      <c r="K16" s="4">
        <v>0.159</v>
      </c>
      <c r="L16" s="4">
        <v>0.17810000000000001</v>
      </c>
    </row>
    <row r="17" spans="1:12" x14ac:dyDescent="0.25">
      <c r="A17" s="1" t="s">
        <v>31</v>
      </c>
      <c r="B17" s="4">
        <v>0.61604000000000003</v>
      </c>
      <c r="C17" s="4">
        <v>6.3049999999999995E-2</v>
      </c>
      <c r="D17" s="4">
        <v>0.55500000000000005</v>
      </c>
      <c r="E17" s="4">
        <v>1.1100000000000001</v>
      </c>
      <c r="F17" s="4">
        <v>0.55500000000000005</v>
      </c>
      <c r="G17" s="4">
        <v>0.55600000000000005</v>
      </c>
      <c r="H17" s="4">
        <v>0.55600000000000005</v>
      </c>
      <c r="I17" s="4">
        <v>0.58599999999999997</v>
      </c>
      <c r="J17" s="4">
        <v>0.79701</v>
      </c>
      <c r="K17" s="4">
        <v>0.94699999999999995</v>
      </c>
      <c r="L17" s="4">
        <v>1.1080000000000001</v>
      </c>
    </row>
    <row r="18" spans="1:12" x14ac:dyDescent="0.25">
      <c r="A18" s="1" t="s">
        <v>1</v>
      </c>
      <c r="B18" s="4">
        <v>3.4889999999999997E-2</v>
      </c>
      <c r="C18" s="4">
        <v>6.3600000000000002E-3</v>
      </c>
      <c r="D18" s="4">
        <v>0.03</v>
      </c>
      <c r="E18" s="4">
        <v>0.16700000000000001</v>
      </c>
      <c r="F18" s="4">
        <v>0.03</v>
      </c>
      <c r="G18" s="4">
        <v>0.03</v>
      </c>
      <c r="H18" s="4">
        <v>0.03</v>
      </c>
      <c r="I18" s="4">
        <v>3.2000000000000001E-2</v>
      </c>
      <c r="J18" s="4">
        <v>5.8000000000000003E-2</v>
      </c>
      <c r="K18" s="4">
        <v>7.9000000000000001E-2</v>
      </c>
      <c r="L18" s="4">
        <v>0.1661</v>
      </c>
    </row>
    <row r="19" spans="1:12" x14ac:dyDescent="0.25">
      <c r="A19" s="1" t="s">
        <v>2</v>
      </c>
      <c r="B19" s="4">
        <v>4.879E-2</v>
      </c>
      <c r="C19" s="4">
        <v>1.2189999999999999E-2</v>
      </c>
      <c r="D19" s="4">
        <v>3.7999999999999999E-2</v>
      </c>
      <c r="E19" s="4">
        <v>0.439</v>
      </c>
      <c r="F19" s="4">
        <v>3.7999999999999999E-2</v>
      </c>
      <c r="G19" s="4">
        <v>3.7999999999999999E-2</v>
      </c>
      <c r="H19" s="4">
        <v>3.9E-2</v>
      </c>
      <c r="I19" s="4">
        <v>4.4999999999999998E-2</v>
      </c>
      <c r="J19" s="4">
        <v>8.5999999999999993E-2</v>
      </c>
      <c r="K19" s="4">
        <v>0.17</v>
      </c>
      <c r="L19" s="4">
        <v>0.4158</v>
      </c>
    </row>
    <row r="20" spans="1:12" x14ac:dyDescent="0.25">
      <c r="A20" s="1" t="s">
        <v>3</v>
      </c>
      <c r="B20" s="4">
        <v>2.971E-2</v>
      </c>
      <c r="C20" s="4">
        <v>7.0400000000000003E-3</v>
      </c>
      <c r="D20" s="4">
        <v>2.4E-2</v>
      </c>
      <c r="E20" s="4">
        <v>0.187</v>
      </c>
      <c r="F20" s="4">
        <v>2.4E-2</v>
      </c>
      <c r="G20" s="4">
        <v>2.4E-2</v>
      </c>
      <c r="H20" s="4">
        <v>2.5000000000000001E-2</v>
      </c>
      <c r="I20" s="4">
        <v>2.8000000000000001E-2</v>
      </c>
      <c r="J20" s="4">
        <v>5.2999999999999999E-2</v>
      </c>
      <c r="K20" s="4">
        <v>0.153</v>
      </c>
      <c r="L20" s="4">
        <v>0.18609999999999999</v>
      </c>
    </row>
    <row r="21" spans="1:12" x14ac:dyDescent="0.25">
      <c r="A21" s="1" t="s">
        <v>4</v>
      </c>
      <c r="B21" s="4">
        <v>1.925E-2</v>
      </c>
      <c r="C21" s="4">
        <v>4.5300000000000002E-3</v>
      </c>
      <c r="D21" s="4">
        <v>1.6E-2</v>
      </c>
      <c r="E21" s="4">
        <v>0.151</v>
      </c>
      <c r="F21" s="4">
        <v>1.6E-2</v>
      </c>
      <c r="G21" s="4">
        <v>1.6E-2</v>
      </c>
      <c r="H21" s="4">
        <v>1.7000000000000001E-2</v>
      </c>
      <c r="I21" s="4">
        <v>1.7999999999999999E-2</v>
      </c>
      <c r="J21" s="4">
        <v>3.5000000000000003E-2</v>
      </c>
      <c r="K21" s="4">
        <v>6.2E-2</v>
      </c>
      <c r="L21" s="4">
        <v>0.15079999999999999</v>
      </c>
    </row>
    <row r="22" spans="1:12" x14ac:dyDescent="0.25">
      <c r="A22" s="1" t="s">
        <v>32</v>
      </c>
      <c r="B22" s="4" t="s">
        <v>5</v>
      </c>
      <c r="C22" s="4" t="s">
        <v>5</v>
      </c>
      <c r="D22" s="4" t="s">
        <v>5</v>
      </c>
      <c r="E22" s="4" t="s">
        <v>5</v>
      </c>
      <c r="F22" s="4" t="s">
        <v>5</v>
      </c>
      <c r="G22" s="4" t="s">
        <v>5</v>
      </c>
      <c r="H22" s="4" t="s">
        <v>5</v>
      </c>
      <c r="I22" s="4" t="s">
        <v>5</v>
      </c>
      <c r="J22" s="4" t="s">
        <v>5</v>
      </c>
      <c r="K22" s="4" t="s">
        <v>5</v>
      </c>
      <c r="L22" s="4" t="s">
        <v>5</v>
      </c>
    </row>
    <row r="23" spans="1:12" x14ac:dyDescent="0.25">
      <c r="A23" s="1" t="s">
        <v>0</v>
      </c>
      <c r="B23" s="4">
        <v>3.5270000000000003E-2</v>
      </c>
      <c r="C23" s="4">
        <v>7.8600000000000007E-3</v>
      </c>
      <c r="D23" s="4">
        <v>3.1E-2</v>
      </c>
      <c r="E23" s="4">
        <v>0.186</v>
      </c>
      <c r="F23" s="4">
        <v>3.1E-2</v>
      </c>
      <c r="G23" s="4">
        <v>3.1E-2</v>
      </c>
      <c r="H23" s="4">
        <v>3.1E-2</v>
      </c>
      <c r="I23" s="4">
        <v>3.3000000000000002E-2</v>
      </c>
      <c r="J23" s="4">
        <v>5.8000000000000003E-2</v>
      </c>
      <c r="K23" s="4">
        <v>0.159</v>
      </c>
      <c r="L23" s="4">
        <v>0.18459999999999999</v>
      </c>
    </row>
    <row r="24" spans="1:12" x14ac:dyDescent="0.25">
      <c r="A24" s="1" t="s">
        <v>31</v>
      </c>
      <c r="B24" s="4">
        <v>0.61231000000000002</v>
      </c>
      <c r="C24" s="4">
        <v>6.1440000000000002E-2</v>
      </c>
      <c r="D24" s="4">
        <v>0.55500000000000005</v>
      </c>
      <c r="E24" s="4">
        <v>1.0529999999999999</v>
      </c>
      <c r="F24" s="4">
        <v>0.55500000000000005</v>
      </c>
      <c r="G24" s="4">
        <v>0.55600000000000005</v>
      </c>
      <c r="H24" s="4">
        <v>0.55600000000000005</v>
      </c>
      <c r="I24" s="4">
        <v>0.58499999999999996</v>
      </c>
      <c r="J24" s="4">
        <v>0.81901000000000002</v>
      </c>
      <c r="K24" s="4">
        <v>0.95699999999999996</v>
      </c>
      <c r="L24" s="4">
        <v>1.0510999999999999</v>
      </c>
    </row>
    <row r="25" spans="1:12" x14ac:dyDescent="0.25">
      <c r="A25" s="1" t="s">
        <v>1</v>
      </c>
      <c r="B25" s="4">
        <v>3.4509999999999999E-2</v>
      </c>
      <c r="C25" s="4">
        <v>7.3699999999999998E-3</v>
      </c>
      <c r="D25" s="4">
        <v>0.03</v>
      </c>
      <c r="E25" s="4">
        <v>0.17699999999999999</v>
      </c>
      <c r="F25" s="4">
        <v>0.03</v>
      </c>
      <c r="G25" s="4">
        <v>0.03</v>
      </c>
      <c r="H25" s="4">
        <v>3.1E-2</v>
      </c>
      <c r="I25" s="4">
        <v>3.2000000000000001E-2</v>
      </c>
      <c r="J25" s="4">
        <v>5.8999999999999997E-2</v>
      </c>
      <c r="K25" s="4">
        <v>0.158</v>
      </c>
      <c r="L25" s="4">
        <v>0.1769</v>
      </c>
    </row>
    <row r="26" spans="1:12" x14ac:dyDescent="0.25">
      <c r="A26" s="1" t="s">
        <v>2</v>
      </c>
      <c r="B26" s="4">
        <v>4.9390000000000003E-2</v>
      </c>
      <c r="C26" s="4">
        <v>1.2489999999999999E-2</v>
      </c>
      <c r="D26" s="4">
        <v>3.7999999999999999E-2</v>
      </c>
      <c r="E26" s="4">
        <v>0.36899999999999999</v>
      </c>
      <c r="F26" s="4">
        <v>3.7999999999999999E-2</v>
      </c>
      <c r="G26" s="4">
        <v>3.7999999999999999E-2</v>
      </c>
      <c r="H26" s="4">
        <v>3.9E-2</v>
      </c>
      <c r="I26" s="4">
        <v>4.5999999999999999E-2</v>
      </c>
      <c r="J26" s="4">
        <v>8.7999999999999995E-2</v>
      </c>
      <c r="K26" s="4">
        <v>0.17199999999999999</v>
      </c>
      <c r="L26" s="4">
        <v>0.3528</v>
      </c>
    </row>
    <row r="27" spans="1:12" x14ac:dyDescent="0.25">
      <c r="A27" s="1" t="s">
        <v>3</v>
      </c>
      <c r="B27" s="4">
        <v>2.9770000000000001E-2</v>
      </c>
      <c r="C27" s="4">
        <v>6.94E-3</v>
      </c>
      <c r="D27" s="4">
        <v>2.4E-2</v>
      </c>
      <c r="E27" s="4">
        <v>0.16800000000000001</v>
      </c>
      <c r="F27" s="4">
        <v>2.4E-2</v>
      </c>
      <c r="G27" s="4">
        <v>2.4E-2</v>
      </c>
      <c r="H27" s="4">
        <v>2.5000000000000001E-2</v>
      </c>
      <c r="I27" s="4">
        <v>2.8000000000000001E-2</v>
      </c>
      <c r="J27" s="4">
        <v>5.2999999999999999E-2</v>
      </c>
      <c r="K27" s="4">
        <v>0.15</v>
      </c>
      <c r="L27" s="4">
        <v>0.1678</v>
      </c>
    </row>
    <row r="28" spans="1:12" x14ac:dyDescent="0.25">
      <c r="A28" s="1" t="s">
        <v>4</v>
      </c>
      <c r="B28" s="4">
        <v>1.9449999999999999E-2</v>
      </c>
      <c r="C28" s="4">
        <v>5.0600000000000003E-3</v>
      </c>
      <c r="D28" s="4">
        <v>1.6E-2</v>
      </c>
      <c r="E28" s="4">
        <v>0.154</v>
      </c>
      <c r="F28" s="4">
        <v>1.6E-2</v>
      </c>
      <c r="G28" s="4">
        <v>1.6E-2</v>
      </c>
      <c r="H28" s="4">
        <v>1.7000000000000001E-2</v>
      </c>
      <c r="I28" s="4">
        <v>1.7999999999999999E-2</v>
      </c>
      <c r="J28" s="4">
        <v>3.5999999999999997E-2</v>
      </c>
      <c r="K28" s="4">
        <v>7.0010000000000003E-2</v>
      </c>
      <c r="L28" s="4">
        <v>0.15379999999999999</v>
      </c>
    </row>
    <row r="29" spans="1:12" x14ac:dyDescent="0.25">
      <c r="A29" s="1" t="s">
        <v>32</v>
      </c>
      <c r="B29" s="4" t="s">
        <v>5</v>
      </c>
      <c r="C29" s="4" t="s">
        <v>5</v>
      </c>
      <c r="D29" s="4" t="s">
        <v>5</v>
      </c>
      <c r="E29" s="4" t="s">
        <v>5</v>
      </c>
      <c r="F29" s="4" t="s">
        <v>5</v>
      </c>
      <c r="G29" s="4" t="s">
        <v>5</v>
      </c>
      <c r="H29" s="4" t="s">
        <v>5</v>
      </c>
      <c r="I29" s="4" t="s">
        <v>5</v>
      </c>
      <c r="J29" s="4" t="s">
        <v>5</v>
      </c>
      <c r="K29" s="4" t="s">
        <v>5</v>
      </c>
      <c r="L29" s="4" t="s">
        <v>5</v>
      </c>
    </row>
    <row r="30" spans="1:12" x14ac:dyDescent="0.25">
      <c r="A30" s="1" t="s">
        <v>0</v>
      </c>
      <c r="B30" s="4">
        <v>3.5740000000000001E-2</v>
      </c>
      <c r="C30" s="4">
        <v>7.79E-3</v>
      </c>
      <c r="D30" s="4">
        <v>3.1E-2</v>
      </c>
      <c r="E30" s="4">
        <v>0.32500000000000001</v>
      </c>
      <c r="F30" s="4">
        <v>3.1E-2</v>
      </c>
      <c r="G30" s="4">
        <v>3.1E-2</v>
      </c>
      <c r="H30" s="4">
        <v>3.1E-2</v>
      </c>
      <c r="I30" s="4">
        <v>3.3000000000000002E-2</v>
      </c>
      <c r="J30" s="4">
        <v>5.8000000000000003E-2</v>
      </c>
      <c r="K30" s="4">
        <v>0.158</v>
      </c>
      <c r="L30" s="4">
        <v>0.31219999999999998</v>
      </c>
    </row>
    <row r="31" spans="1:12" x14ac:dyDescent="0.25">
      <c r="A31" s="1" t="s">
        <v>31</v>
      </c>
      <c r="B31" s="4">
        <v>0.61956</v>
      </c>
      <c r="C31" s="4">
        <v>6.5000000000000002E-2</v>
      </c>
      <c r="D31" s="4">
        <v>0.55500000000000005</v>
      </c>
      <c r="E31" s="4">
        <v>1.2490000000000001</v>
      </c>
      <c r="F31" s="4">
        <v>0.55500000000000005</v>
      </c>
      <c r="G31" s="4">
        <v>0.55600000000000005</v>
      </c>
      <c r="H31" s="4">
        <v>0.55600000000000005</v>
      </c>
      <c r="I31" s="4">
        <v>0.59099999999999997</v>
      </c>
      <c r="J31" s="4">
        <v>0.81399999999999995</v>
      </c>
      <c r="K31" s="4">
        <v>0.96101000000000003</v>
      </c>
      <c r="L31" s="4">
        <v>1.2303999999999999</v>
      </c>
    </row>
    <row r="32" spans="1:12" x14ac:dyDescent="0.25">
      <c r="A32" s="1" t="s">
        <v>1</v>
      </c>
      <c r="B32" s="4">
        <v>3.5139999999999998E-2</v>
      </c>
      <c r="C32" s="4">
        <v>8.0999999999999996E-3</v>
      </c>
      <c r="D32" s="4">
        <v>0.03</v>
      </c>
      <c r="E32" s="4">
        <v>0.36599999999999999</v>
      </c>
      <c r="F32" s="4">
        <v>0.03</v>
      </c>
      <c r="G32" s="4">
        <v>0.03</v>
      </c>
      <c r="H32" s="4">
        <v>3.1E-2</v>
      </c>
      <c r="I32" s="4">
        <v>3.2000000000000001E-2</v>
      </c>
      <c r="J32" s="4">
        <v>5.8999999999999997E-2</v>
      </c>
      <c r="K32" s="4">
        <v>0.157</v>
      </c>
      <c r="L32" s="4">
        <v>0.34820000000000001</v>
      </c>
    </row>
    <row r="33" spans="1:12" x14ac:dyDescent="0.25">
      <c r="A33" s="1" t="s">
        <v>2</v>
      </c>
      <c r="B33" s="4">
        <v>4.947E-2</v>
      </c>
      <c r="C33" s="4">
        <v>1.1900000000000001E-2</v>
      </c>
      <c r="D33" s="4">
        <v>3.7999999999999999E-2</v>
      </c>
      <c r="E33" s="4">
        <v>0.21099999999999999</v>
      </c>
      <c r="F33" s="4">
        <v>3.7999999999999999E-2</v>
      </c>
      <c r="G33" s="4">
        <v>3.7999999999999999E-2</v>
      </c>
      <c r="H33" s="4">
        <v>3.9E-2</v>
      </c>
      <c r="I33" s="4">
        <v>4.7E-2</v>
      </c>
      <c r="J33" s="4">
        <v>8.7999999999999995E-2</v>
      </c>
      <c r="K33" s="4">
        <v>0.17399999999999999</v>
      </c>
      <c r="L33" s="4">
        <v>0.20910000000000001</v>
      </c>
    </row>
    <row r="34" spans="1:12" x14ac:dyDescent="0.25">
      <c r="A34" s="1" t="s">
        <v>3</v>
      </c>
      <c r="B34" s="4">
        <v>3.0040000000000001E-2</v>
      </c>
      <c r="C34" s="4">
        <v>5.5199999999999997E-3</v>
      </c>
      <c r="D34" s="4">
        <v>2.4E-2</v>
      </c>
      <c r="E34" s="4">
        <v>0.152</v>
      </c>
      <c r="F34" s="4">
        <v>2.4E-2</v>
      </c>
      <c r="G34" s="4">
        <v>2.4E-2</v>
      </c>
      <c r="H34" s="4">
        <v>2.5000000000000001E-2</v>
      </c>
      <c r="I34" s="4">
        <v>2.8000000000000001E-2</v>
      </c>
      <c r="J34" s="4">
        <v>5.2999999999999999E-2</v>
      </c>
      <c r="K34" s="4">
        <v>7.4010000000000006E-2</v>
      </c>
      <c r="L34" s="4">
        <v>0.14879999999999999</v>
      </c>
    </row>
    <row r="35" spans="1:12" x14ac:dyDescent="0.25">
      <c r="A35" s="1" t="s">
        <v>4</v>
      </c>
      <c r="B35" s="4">
        <v>1.967E-2</v>
      </c>
      <c r="C35" s="4">
        <v>4.4900000000000001E-3</v>
      </c>
      <c r="D35" s="4">
        <v>1.6E-2</v>
      </c>
      <c r="E35" s="4">
        <v>0.182</v>
      </c>
      <c r="F35" s="4">
        <v>1.6E-2</v>
      </c>
      <c r="G35" s="4">
        <v>1.7000000000000001E-2</v>
      </c>
      <c r="H35" s="4">
        <v>1.7000000000000001E-2</v>
      </c>
      <c r="I35" s="4">
        <v>1.9E-2</v>
      </c>
      <c r="J35" s="4">
        <v>3.5999999999999997E-2</v>
      </c>
      <c r="K35" s="4">
        <v>5.8999999999999997E-2</v>
      </c>
      <c r="L35" s="4">
        <v>0.17910000000000001</v>
      </c>
    </row>
    <row r="37" spans="1:12" x14ac:dyDescent="0.25">
      <c r="A37" t="str">
        <f t="shared" ref="A37:A42" si="0">A2</f>
        <v xml:space="preserve">normal          </v>
      </c>
      <c r="B37">
        <f>AVERAGE(B2,B9,B16,B23,B30)</f>
        <v>3.5524E-2</v>
      </c>
      <c r="C37">
        <f t="shared" ref="C37:L37" si="1">AVERAGE(C2,C9,C16,C23,C30)</f>
        <v>7.8979999999999988E-3</v>
      </c>
      <c r="D37">
        <f t="shared" si="1"/>
        <v>3.1E-2</v>
      </c>
      <c r="E37">
        <f t="shared" si="1"/>
        <v>0.23079999999999998</v>
      </c>
      <c r="F37">
        <f t="shared" si="1"/>
        <v>3.1E-2</v>
      </c>
      <c r="G37">
        <f t="shared" si="1"/>
        <v>3.1E-2</v>
      </c>
      <c r="H37">
        <f t="shared" si="1"/>
        <v>3.1199999999999999E-2</v>
      </c>
      <c r="I37">
        <f t="shared" si="1"/>
        <v>3.2800000000000003E-2</v>
      </c>
      <c r="J37">
        <f t="shared" si="1"/>
        <v>5.8599999999999999E-2</v>
      </c>
      <c r="K37">
        <f t="shared" si="1"/>
        <v>0.14620000000000002</v>
      </c>
      <c r="L37">
        <f t="shared" si="1"/>
        <v>0.22682000000000002</v>
      </c>
    </row>
    <row r="38" spans="1:12" x14ac:dyDescent="0.25">
      <c r="A38" t="str">
        <f t="shared" si="0"/>
        <v xml:space="preserve">v lob           </v>
      </c>
      <c r="B38">
        <f t="shared" ref="B38:L42" si="2">AVERAGE(B3,B10,B17,B24,B31)</f>
        <v>0.61727599999999994</v>
      </c>
      <c r="C38">
        <f t="shared" si="2"/>
        <v>6.6297999999999996E-2</v>
      </c>
      <c r="D38">
        <f t="shared" si="2"/>
        <v>0.55500000000000005</v>
      </c>
      <c r="E38">
        <f t="shared" si="2"/>
        <v>1.2007999999999999</v>
      </c>
      <c r="F38">
        <f t="shared" si="2"/>
        <v>0.55500000000000005</v>
      </c>
      <c r="G38">
        <f t="shared" si="2"/>
        <v>0.55600000000000005</v>
      </c>
      <c r="H38">
        <f t="shared" si="2"/>
        <v>0.55620000000000003</v>
      </c>
      <c r="I38">
        <f t="shared" si="2"/>
        <v>0.58899999999999986</v>
      </c>
      <c r="J38">
        <f t="shared" si="2"/>
        <v>0.83600399999999997</v>
      </c>
      <c r="K38">
        <f t="shared" si="2"/>
        <v>0.98120399999999997</v>
      </c>
      <c r="L38">
        <f t="shared" si="2"/>
        <v>1.1930799999999997</v>
      </c>
    </row>
    <row r="39" spans="1:12" x14ac:dyDescent="0.25">
      <c r="A39" t="str">
        <f t="shared" si="0"/>
        <v xml:space="preserve">iter            </v>
      </c>
      <c r="B39">
        <f t="shared" si="2"/>
        <v>3.4792000000000003E-2</v>
      </c>
      <c r="C39">
        <f t="shared" si="2"/>
        <v>7.0479999999999987E-3</v>
      </c>
      <c r="D39">
        <f t="shared" si="2"/>
        <v>0.03</v>
      </c>
      <c r="E39">
        <f t="shared" si="2"/>
        <v>0.21340000000000003</v>
      </c>
      <c r="F39">
        <f t="shared" si="2"/>
        <v>0.03</v>
      </c>
      <c r="G39">
        <f t="shared" si="2"/>
        <v>0.03</v>
      </c>
      <c r="H39">
        <f t="shared" si="2"/>
        <v>3.0599999999999999E-2</v>
      </c>
      <c r="I39">
        <f t="shared" si="2"/>
        <v>3.2000000000000001E-2</v>
      </c>
      <c r="J39">
        <f t="shared" si="2"/>
        <v>5.8799999999999998E-2</v>
      </c>
      <c r="K39">
        <f t="shared" si="2"/>
        <v>0.11080000000000001</v>
      </c>
      <c r="L39">
        <f t="shared" si="2"/>
        <v>0.20946000000000004</v>
      </c>
    </row>
    <row r="40" spans="1:12" x14ac:dyDescent="0.25">
      <c r="A40" t="str">
        <f t="shared" si="0"/>
        <v xml:space="preserve">sse v1          </v>
      </c>
      <c r="B40">
        <f t="shared" si="2"/>
        <v>4.9186000000000007E-2</v>
      </c>
      <c r="C40">
        <f t="shared" si="2"/>
        <v>1.2356000000000001E-2</v>
      </c>
      <c r="D40">
        <f t="shared" si="2"/>
        <v>3.7999999999999999E-2</v>
      </c>
      <c r="E40">
        <f t="shared" si="2"/>
        <v>0.31900000000000001</v>
      </c>
      <c r="F40">
        <f t="shared" si="2"/>
        <v>3.7999999999999999E-2</v>
      </c>
      <c r="G40">
        <f t="shared" si="2"/>
        <v>3.7999999999999999E-2</v>
      </c>
      <c r="H40">
        <f t="shared" si="2"/>
        <v>3.9E-2</v>
      </c>
      <c r="I40">
        <f t="shared" si="2"/>
        <v>4.5799999999999993E-2</v>
      </c>
      <c r="J40">
        <f t="shared" si="2"/>
        <v>8.7999999999999995E-2</v>
      </c>
      <c r="K40">
        <f t="shared" si="2"/>
        <v>0.1754</v>
      </c>
      <c r="L40">
        <f t="shared" si="2"/>
        <v>0.30818000000000001</v>
      </c>
    </row>
    <row r="41" spans="1:12" x14ac:dyDescent="0.25">
      <c r="A41" t="str">
        <f t="shared" si="0"/>
        <v xml:space="preserve">sse v2          </v>
      </c>
      <c r="B41">
        <f t="shared" si="2"/>
        <v>2.9874000000000001E-2</v>
      </c>
      <c r="C41">
        <f t="shared" si="2"/>
        <v>6.6180000000000006E-3</v>
      </c>
      <c r="D41">
        <f t="shared" si="2"/>
        <v>2.4E-2</v>
      </c>
      <c r="E41">
        <f t="shared" si="2"/>
        <v>0.17040000000000002</v>
      </c>
      <c r="F41">
        <f t="shared" si="2"/>
        <v>2.4E-2</v>
      </c>
      <c r="G41">
        <f t="shared" si="2"/>
        <v>2.4E-2</v>
      </c>
      <c r="H41">
        <f t="shared" si="2"/>
        <v>2.5000000000000001E-2</v>
      </c>
      <c r="I41">
        <f t="shared" si="2"/>
        <v>2.8000000000000004E-2</v>
      </c>
      <c r="J41">
        <f t="shared" si="2"/>
        <v>5.3200000000000004E-2</v>
      </c>
      <c r="K41">
        <f t="shared" si="2"/>
        <v>0.12061000000000002</v>
      </c>
      <c r="L41">
        <f t="shared" si="2"/>
        <v>0.16938</v>
      </c>
    </row>
    <row r="42" spans="1:12" x14ac:dyDescent="0.25">
      <c r="A42" t="str">
        <f t="shared" si="0"/>
        <v xml:space="preserve">avx h           </v>
      </c>
      <c r="B42">
        <f t="shared" si="2"/>
        <v>1.9422000000000002E-2</v>
      </c>
      <c r="C42">
        <f t="shared" si="2"/>
        <v>4.8520000000000004E-3</v>
      </c>
      <c r="D42">
        <f t="shared" si="2"/>
        <v>1.6E-2</v>
      </c>
      <c r="E42">
        <f t="shared" si="2"/>
        <v>0.19140000000000001</v>
      </c>
      <c r="F42">
        <f t="shared" si="2"/>
        <v>1.6E-2</v>
      </c>
      <c r="G42">
        <f t="shared" si="2"/>
        <v>1.6400000000000001E-2</v>
      </c>
      <c r="H42">
        <f t="shared" si="2"/>
        <v>1.7000000000000001E-2</v>
      </c>
      <c r="I42">
        <f t="shared" si="2"/>
        <v>1.8200000000000001E-2</v>
      </c>
      <c r="J42">
        <f t="shared" si="2"/>
        <v>3.5799999999999998E-2</v>
      </c>
      <c r="K42">
        <f t="shared" si="2"/>
        <v>6.540399999999999E-2</v>
      </c>
      <c r="L42">
        <f t="shared" si="2"/>
        <v>0.18738000000000002</v>
      </c>
    </row>
  </sheetData>
  <conditionalFormatting sqref="B37:B4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C4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7:D4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7:E4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7:F4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7:G4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7:H4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7:I4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7:J4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7:K4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7:L4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8A18-0158-4DF8-B0D4-7FC4EDFE6FF6}">
  <dimension ref="A1:M42"/>
  <sheetViews>
    <sheetView workbookViewId="0">
      <selection sqref="A1:L30"/>
    </sheetView>
  </sheetViews>
  <sheetFormatPr defaultRowHeight="15" x14ac:dyDescent="0.25"/>
  <cols>
    <col min="1" max="1" width="11.5703125" bestFit="1" customWidth="1"/>
    <col min="2" max="2" width="13.85546875" customWidth="1"/>
    <col min="3" max="9" width="11.140625" bestFit="1" customWidth="1"/>
    <col min="10" max="12" width="12.140625" bestFit="1" customWidth="1"/>
  </cols>
  <sheetData>
    <row r="1" spans="1:12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s="2" t="s">
        <v>13</v>
      </c>
      <c r="I1" s="2" t="s">
        <v>14</v>
      </c>
      <c r="J1" s="2" t="s">
        <v>15</v>
      </c>
      <c r="K1" t="s">
        <v>16</v>
      </c>
      <c r="L1" t="s">
        <v>17</v>
      </c>
    </row>
    <row r="2" spans="1:12" x14ac:dyDescent="0.25">
      <c r="A2" s="1" t="s">
        <v>0</v>
      </c>
      <c r="B2" s="4">
        <v>3.5790000000000002E-2</v>
      </c>
      <c r="C2" s="4">
        <v>7.3899999999999999E-3</v>
      </c>
      <c r="D2" s="4">
        <v>3.1E-2</v>
      </c>
      <c r="E2" s="4">
        <v>0.38900000000000001</v>
      </c>
      <c r="F2" s="4">
        <v>3.1E-2</v>
      </c>
      <c r="G2" s="4">
        <v>3.1E-2</v>
      </c>
      <c r="H2" s="4">
        <v>3.2000000000000001E-2</v>
      </c>
      <c r="I2" s="4">
        <v>3.3000000000000002E-2</v>
      </c>
      <c r="J2" s="4">
        <v>5.8000000000000003E-2</v>
      </c>
      <c r="K2" s="4">
        <v>0.152</v>
      </c>
      <c r="L2" s="4">
        <v>0.26900000000000002</v>
      </c>
    </row>
    <row r="3" spans="1:12" x14ac:dyDescent="0.25">
      <c r="A3" s="1" t="s">
        <v>1</v>
      </c>
      <c r="B3" s="4">
        <v>3.499E-2</v>
      </c>
      <c r="C3" s="4">
        <v>6.8700000000000002E-3</v>
      </c>
      <c r="D3" s="4">
        <v>0.03</v>
      </c>
      <c r="E3" s="4">
        <v>0.316</v>
      </c>
      <c r="F3" s="4">
        <v>0.03</v>
      </c>
      <c r="G3" s="4">
        <v>0.03</v>
      </c>
      <c r="H3" s="4">
        <v>3.1E-2</v>
      </c>
      <c r="I3" s="4">
        <v>3.2000000000000001E-2</v>
      </c>
      <c r="J3" s="4">
        <v>5.8000000000000003E-2</v>
      </c>
      <c r="K3" s="4">
        <v>0.106</v>
      </c>
      <c r="L3" s="4">
        <v>0.19500000000000001</v>
      </c>
    </row>
    <row r="4" spans="1:12" x14ac:dyDescent="0.25">
      <c r="A4" s="1" t="s">
        <v>2</v>
      </c>
      <c r="B4" s="4">
        <v>5.3100000000000001E-2</v>
      </c>
      <c r="C4" s="4">
        <v>1.366E-2</v>
      </c>
      <c r="D4" s="4">
        <v>3.9E-2</v>
      </c>
      <c r="E4" s="4">
        <v>0.68400000000000005</v>
      </c>
      <c r="F4" s="4">
        <v>3.9E-2</v>
      </c>
      <c r="G4" s="4">
        <v>0.04</v>
      </c>
      <c r="H4" s="4">
        <v>4.1000000000000002E-2</v>
      </c>
      <c r="I4" s="4">
        <v>4.9000000000000002E-2</v>
      </c>
      <c r="J4" s="4">
        <v>9.5000000000000001E-2</v>
      </c>
      <c r="K4" s="4">
        <v>0.17799999999999999</v>
      </c>
      <c r="L4" s="4">
        <v>0.36699999999999999</v>
      </c>
    </row>
    <row r="5" spans="1:12" x14ac:dyDescent="0.25">
      <c r="A5" s="1" t="s">
        <v>3</v>
      </c>
      <c r="B5" s="4">
        <v>2.7660000000000001E-2</v>
      </c>
      <c r="C5" s="4">
        <v>5.8700000000000002E-3</v>
      </c>
      <c r="D5" s="4">
        <v>2.1999999999999999E-2</v>
      </c>
      <c r="E5" s="4">
        <v>0.308</v>
      </c>
      <c r="F5" s="4">
        <v>2.1999999999999999E-2</v>
      </c>
      <c r="G5" s="4">
        <v>2.3E-2</v>
      </c>
      <c r="H5" s="4">
        <v>2.3E-2</v>
      </c>
      <c r="I5" s="4">
        <v>2.5999999999999999E-2</v>
      </c>
      <c r="J5" s="4">
        <v>4.9000000000000002E-2</v>
      </c>
      <c r="K5" s="4">
        <v>7.2999999999999995E-2</v>
      </c>
      <c r="L5" s="4">
        <v>0.17499999999999999</v>
      </c>
    </row>
    <row r="6" spans="1:12" x14ac:dyDescent="0.25">
      <c r="A6" s="1" t="s">
        <v>4</v>
      </c>
      <c r="B6" s="4">
        <v>1.9369999999999998E-2</v>
      </c>
      <c r="C6" s="4">
        <v>4.7099999999999998E-3</v>
      </c>
      <c r="D6" s="4">
        <v>1.6E-2</v>
      </c>
      <c r="E6" s="4">
        <v>0.30499999999999999</v>
      </c>
      <c r="F6" s="4">
        <v>1.6E-2</v>
      </c>
      <c r="G6" s="4">
        <v>1.7000000000000001E-2</v>
      </c>
      <c r="H6" s="4">
        <v>1.7000000000000001E-2</v>
      </c>
      <c r="I6" s="4">
        <v>1.7999999999999999E-2</v>
      </c>
      <c r="J6" s="4">
        <v>3.5000000000000003E-2</v>
      </c>
      <c r="K6" s="4">
        <v>5.7000000000000002E-2</v>
      </c>
      <c r="L6" s="4">
        <v>0.30099999999999999</v>
      </c>
    </row>
    <row r="7" spans="1:12" x14ac:dyDescent="0.25">
      <c r="A7" s="1" t="s">
        <v>5</v>
      </c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  <c r="H7" s="4" t="s">
        <v>5</v>
      </c>
      <c r="I7" s="4" t="s">
        <v>5</v>
      </c>
      <c r="J7" s="4" t="s">
        <v>5</v>
      </c>
      <c r="K7" s="4" t="s">
        <v>5</v>
      </c>
      <c r="L7" s="4" t="s">
        <v>5</v>
      </c>
    </row>
    <row r="8" spans="1:12" x14ac:dyDescent="0.25">
      <c r="A8" s="1" t="s">
        <v>0</v>
      </c>
      <c r="B8" s="4">
        <v>3.5880000000000002E-2</v>
      </c>
      <c r="C8" s="4">
        <v>7.4900000000000001E-3</v>
      </c>
      <c r="D8" s="4">
        <v>3.1E-2</v>
      </c>
      <c r="E8" s="4">
        <v>0.32500000000000001</v>
      </c>
      <c r="F8" s="4">
        <v>3.1E-2</v>
      </c>
      <c r="G8" s="4">
        <v>3.1E-2</v>
      </c>
      <c r="H8" s="4">
        <v>3.1E-2</v>
      </c>
      <c r="I8" s="4">
        <v>3.3000000000000002E-2</v>
      </c>
      <c r="J8" s="4">
        <v>0.06</v>
      </c>
      <c r="K8" s="4">
        <v>0.15</v>
      </c>
      <c r="L8" s="4">
        <v>0.32400000000000001</v>
      </c>
    </row>
    <row r="9" spans="1:12" x14ac:dyDescent="0.25">
      <c r="A9" s="1" t="s">
        <v>1</v>
      </c>
      <c r="B9" s="4">
        <v>3.4930000000000003E-2</v>
      </c>
      <c r="C9" s="4">
        <v>7.8499999999999993E-3</v>
      </c>
      <c r="D9" s="4">
        <v>0.03</v>
      </c>
      <c r="E9" s="4">
        <v>0.38500000000000001</v>
      </c>
      <c r="F9" s="4">
        <v>0.03</v>
      </c>
      <c r="G9" s="4">
        <v>0.03</v>
      </c>
      <c r="H9" s="4">
        <v>0.03</v>
      </c>
      <c r="I9" s="4">
        <v>3.2000000000000001E-2</v>
      </c>
      <c r="J9" s="4">
        <v>0.06</v>
      </c>
      <c r="K9" s="4">
        <v>0.13400000000000001</v>
      </c>
      <c r="L9" s="4">
        <v>0.32500000000000001</v>
      </c>
    </row>
    <row r="10" spans="1:12" x14ac:dyDescent="0.25">
      <c r="A10" s="1" t="s">
        <v>2</v>
      </c>
      <c r="B10" s="4">
        <v>5.1749999999999997E-2</v>
      </c>
      <c r="C10" s="4">
        <v>1.289E-2</v>
      </c>
      <c r="D10" s="4">
        <v>3.9E-2</v>
      </c>
      <c r="E10" s="4">
        <v>0.40200000000000002</v>
      </c>
      <c r="F10" s="4">
        <v>3.9E-2</v>
      </c>
      <c r="G10" s="4">
        <v>0.04</v>
      </c>
      <c r="H10" s="4">
        <v>0.04</v>
      </c>
      <c r="I10" s="4">
        <v>4.8000000000000001E-2</v>
      </c>
      <c r="J10" s="4">
        <v>9.1999999999999998E-2</v>
      </c>
      <c r="K10" s="4">
        <v>0.17299999999999999</v>
      </c>
      <c r="L10" s="4">
        <v>0.32200000000000001</v>
      </c>
    </row>
    <row r="11" spans="1:12" x14ac:dyDescent="0.25">
      <c r="A11" s="1" t="s">
        <v>3</v>
      </c>
      <c r="B11" s="4">
        <v>2.7550000000000002E-2</v>
      </c>
      <c r="C11" s="4">
        <v>5.6299999999999996E-3</v>
      </c>
      <c r="D11" s="4">
        <v>2.1999999999999999E-2</v>
      </c>
      <c r="E11" s="4">
        <v>0.20300000000000001</v>
      </c>
      <c r="F11" s="4">
        <v>2.3E-2</v>
      </c>
      <c r="G11" s="4">
        <v>2.3E-2</v>
      </c>
      <c r="H11" s="4">
        <v>2.3E-2</v>
      </c>
      <c r="I11" s="4">
        <v>2.5999999999999999E-2</v>
      </c>
      <c r="J11" s="4">
        <v>4.8000000000000001E-2</v>
      </c>
      <c r="K11" s="4">
        <v>6.8000000000000005E-2</v>
      </c>
      <c r="L11" s="4">
        <v>0.188</v>
      </c>
    </row>
    <row r="12" spans="1:12" x14ac:dyDescent="0.25">
      <c r="A12" s="1" t="s">
        <v>4</v>
      </c>
      <c r="B12" s="4">
        <v>2.0029999999999999E-2</v>
      </c>
      <c r="C12" s="4">
        <v>4.7000000000000002E-3</v>
      </c>
      <c r="D12" s="4">
        <v>1.7000000000000001E-2</v>
      </c>
      <c r="E12" s="4">
        <v>0.32900000000000001</v>
      </c>
      <c r="F12" s="4">
        <v>1.7000000000000001E-2</v>
      </c>
      <c r="G12" s="4">
        <v>1.7000000000000001E-2</v>
      </c>
      <c r="H12" s="4">
        <v>1.7000000000000001E-2</v>
      </c>
      <c r="I12" s="4">
        <v>1.9E-2</v>
      </c>
      <c r="J12" s="4">
        <v>3.7999999999999999E-2</v>
      </c>
      <c r="K12" s="4">
        <v>5.5E-2</v>
      </c>
      <c r="L12" s="4">
        <v>0.17899999999999999</v>
      </c>
    </row>
    <row r="13" spans="1:12" x14ac:dyDescent="0.25">
      <c r="A13" s="1" t="s">
        <v>5</v>
      </c>
      <c r="B13" s="4" t="s">
        <v>5</v>
      </c>
      <c r="C13" s="4" t="s">
        <v>5</v>
      </c>
      <c r="D13" s="4" t="s">
        <v>5</v>
      </c>
      <c r="E13" s="4" t="s">
        <v>5</v>
      </c>
      <c r="F13" s="4" t="s">
        <v>5</v>
      </c>
      <c r="G13" s="4" t="s">
        <v>5</v>
      </c>
      <c r="H13" s="4" t="s">
        <v>5</v>
      </c>
      <c r="I13" s="4" t="s">
        <v>5</v>
      </c>
      <c r="J13" s="4" t="s">
        <v>5</v>
      </c>
      <c r="K13" s="4" t="s">
        <v>5</v>
      </c>
      <c r="L13" s="4" t="s">
        <v>5</v>
      </c>
    </row>
    <row r="14" spans="1:12" x14ac:dyDescent="0.25">
      <c r="A14" s="1" t="s">
        <v>0</v>
      </c>
      <c r="B14" s="4">
        <v>3.5540000000000002E-2</v>
      </c>
      <c r="C14" s="4">
        <v>7.2100000000000003E-3</v>
      </c>
      <c r="D14" s="4">
        <v>3.1E-2</v>
      </c>
      <c r="E14" s="4">
        <v>0.32900000000000001</v>
      </c>
      <c r="F14" s="4">
        <v>3.1E-2</v>
      </c>
      <c r="G14" s="4">
        <v>3.1E-2</v>
      </c>
      <c r="H14" s="4">
        <v>3.1E-2</v>
      </c>
      <c r="I14" s="4">
        <v>3.3000000000000002E-2</v>
      </c>
      <c r="J14" s="4">
        <v>5.8999999999999997E-2</v>
      </c>
      <c r="K14" s="4">
        <v>0.152</v>
      </c>
      <c r="L14" s="4">
        <v>0.32400000000000001</v>
      </c>
    </row>
    <row r="15" spans="1:12" x14ac:dyDescent="0.25">
      <c r="A15" s="1" t="s">
        <v>1</v>
      </c>
      <c r="B15" s="4">
        <v>3.4700000000000002E-2</v>
      </c>
      <c r="C15" s="4">
        <v>6.9800000000000001E-3</v>
      </c>
      <c r="D15" s="4">
        <v>0.03</v>
      </c>
      <c r="E15" s="4">
        <v>0.317</v>
      </c>
      <c r="F15" s="4">
        <v>0.03</v>
      </c>
      <c r="G15" s="4">
        <v>0.03</v>
      </c>
      <c r="H15" s="4">
        <v>3.1E-2</v>
      </c>
      <c r="I15" s="4">
        <v>3.2000000000000001E-2</v>
      </c>
      <c r="J15" s="4">
        <v>5.8000000000000003E-2</v>
      </c>
      <c r="K15" s="4">
        <v>0.13400000000000001</v>
      </c>
      <c r="L15" s="4">
        <v>0.24399999999999999</v>
      </c>
    </row>
    <row r="16" spans="1:12" x14ac:dyDescent="0.25">
      <c r="A16" s="1" t="s">
        <v>2</v>
      </c>
      <c r="B16" s="4">
        <v>5.169E-2</v>
      </c>
      <c r="C16" s="4">
        <v>1.316E-2</v>
      </c>
      <c r="D16" s="4">
        <v>3.9E-2</v>
      </c>
      <c r="E16" s="4">
        <v>0.33900000000000002</v>
      </c>
      <c r="F16" s="4">
        <v>3.9E-2</v>
      </c>
      <c r="G16" s="4">
        <v>3.9E-2</v>
      </c>
      <c r="H16" s="4">
        <v>0.04</v>
      </c>
      <c r="I16" s="4">
        <v>4.8000000000000001E-2</v>
      </c>
      <c r="J16" s="4">
        <v>9.2999999999999999E-2</v>
      </c>
      <c r="K16" s="4">
        <v>0.17599999999999999</v>
      </c>
      <c r="L16" s="4">
        <v>0.308</v>
      </c>
    </row>
    <row r="17" spans="1:12" x14ac:dyDescent="0.25">
      <c r="A17" s="1" t="s">
        <v>3</v>
      </c>
      <c r="B17" s="4">
        <v>2.743E-2</v>
      </c>
      <c r="C17" s="4">
        <v>5.9800000000000001E-3</v>
      </c>
      <c r="D17" s="4">
        <v>2.3E-2</v>
      </c>
      <c r="E17" s="4">
        <v>0.32400000000000001</v>
      </c>
      <c r="F17" s="4">
        <v>2.3E-2</v>
      </c>
      <c r="G17" s="4">
        <v>2.3E-2</v>
      </c>
      <c r="H17" s="4">
        <v>2.3E-2</v>
      </c>
      <c r="I17" s="4">
        <v>2.5999999999999999E-2</v>
      </c>
      <c r="J17" s="4">
        <v>4.9000000000000002E-2</v>
      </c>
      <c r="K17" s="4">
        <v>8.3000000000000004E-2</v>
      </c>
      <c r="L17" s="4">
        <v>0.252</v>
      </c>
    </row>
    <row r="18" spans="1:12" x14ac:dyDescent="0.25">
      <c r="A18" s="1" t="s">
        <v>4</v>
      </c>
      <c r="B18" s="4">
        <v>1.9789999999999999E-2</v>
      </c>
      <c r="C18" s="4">
        <v>5.2599999999999999E-3</v>
      </c>
      <c r="D18" s="4">
        <v>1.7000000000000001E-2</v>
      </c>
      <c r="E18" s="4">
        <v>0.30199999999999999</v>
      </c>
      <c r="F18" s="4">
        <v>1.7000000000000001E-2</v>
      </c>
      <c r="G18" s="4">
        <v>1.7000000000000001E-2</v>
      </c>
      <c r="H18" s="4">
        <v>1.7000000000000001E-2</v>
      </c>
      <c r="I18" s="4">
        <v>1.7999999999999999E-2</v>
      </c>
      <c r="J18" s="4">
        <v>3.7999999999999999E-2</v>
      </c>
      <c r="K18" s="4">
        <v>7.1999999999999995E-2</v>
      </c>
      <c r="L18" s="4">
        <v>0.188</v>
      </c>
    </row>
    <row r="19" spans="1:12" x14ac:dyDescent="0.25">
      <c r="A19" s="1" t="s">
        <v>5</v>
      </c>
      <c r="B19" s="4" t="s">
        <v>5</v>
      </c>
      <c r="C19" s="4" t="s">
        <v>5</v>
      </c>
      <c r="D19" s="4" t="s">
        <v>5</v>
      </c>
      <c r="E19" s="4" t="s">
        <v>5</v>
      </c>
      <c r="F19" s="4" t="s">
        <v>5</v>
      </c>
      <c r="G19" s="4" t="s">
        <v>5</v>
      </c>
      <c r="H19" s="4" t="s">
        <v>5</v>
      </c>
      <c r="I19" s="4" t="s">
        <v>5</v>
      </c>
      <c r="J19" s="4" t="s">
        <v>5</v>
      </c>
      <c r="K19" s="4" t="s">
        <v>5</v>
      </c>
      <c r="L19" s="4" t="s">
        <v>5</v>
      </c>
    </row>
    <row r="20" spans="1:12" x14ac:dyDescent="0.25">
      <c r="A20" s="1" t="s">
        <v>0</v>
      </c>
      <c r="B20" s="4">
        <v>3.5680000000000003E-2</v>
      </c>
      <c r="C20" s="4">
        <v>7.0800000000000004E-3</v>
      </c>
      <c r="D20" s="4">
        <v>3.1E-2</v>
      </c>
      <c r="E20" s="4">
        <v>0.32200000000000001</v>
      </c>
      <c r="F20" s="4">
        <v>3.1E-2</v>
      </c>
      <c r="G20" s="4">
        <v>3.1E-2</v>
      </c>
      <c r="H20" s="4">
        <v>3.1E-2</v>
      </c>
      <c r="I20" s="4">
        <v>3.3000000000000002E-2</v>
      </c>
      <c r="J20" s="4">
        <v>5.8999999999999997E-2</v>
      </c>
      <c r="K20" s="4">
        <v>0.13100000000000001</v>
      </c>
      <c r="L20" s="4">
        <v>0.31900000000000001</v>
      </c>
    </row>
    <row r="21" spans="1:12" x14ac:dyDescent="0.25">
      <c r="A21" s="1" t="s">
        <v>1</v>
      </c>
      <c r="B21" s="4">
        <v>3.4770000000000002E-2</v>
      </c>
      <c r="C21" s="4">
        <v>7.0000000000000001E-3</v>
      </c>
      <c r="D21" s="4">
        <v>0.03</v>
      </c>
      <c r="E21" s="4">
        <v>0.21299999999999999</v>
      </c>
      <c r="F21" s="4">
        <v>0.03</v>
      </c>
      <c r="G21" s="4">
        <v>0.03</v>
      </c>
      <c r="H21" s="4">
        <v>3.1E-2</v>
      </c>
      <c r="I21" s="4">
        <v>3.2000000000000001E-2</v>
      </c>
      <c r="J21" s="4">
        <v>5.8000000000000003E-2</v>
      </c>
      <c r="K21" s="4">
        <v>0.14499999999999999</v>
      </c>
      <c r="L21" s="4">
        <v>0.193</v>
      </c>
    </row>
    <row r="22" spans="1:12" x14ac:dyDescent="0.25">
      <c r="A22" s="1" t="s">
        <v>2</v>
      </c>
      <c r="B22" s="4">
        <v>5.2139999999999999E-2</v>
      </c>
      <c r="C22" s="4">
        <v>1.329E-2</v>
      </c>
      <c r="D22" s="4">
        <v>3.9E-2</v>
      </c>
      <c r="E22" s="4">
        <v>0.35599999999999998</v>
      </c>
      <c r="F22" s="4">
        <v>3.9E-2</v>
      </c>
      <c r="G22" s="4">
        <v>0.04</v>
      </c>
      <c r="H22" s="4">
        <v>0.04</v>
      </c>
      <c r="I22" s="4">
        <v>4.9000000000000002E-2</v>
      </c>
      <c r="J22" s="4">
        <v>9.4E-2</v>
      </c>
      <c r="K22" s="4">
        <v>0.17399999999999999</v>
      </c>
      <c r="L22" s="4">
        <v>0.34399999999999997</v>
      </c>
    </row>
    <row r="23" spans="1:12" x14ac:dyDescent="0.25">
      <c r="A23" s="1" t="s">
        <v>3</v>
      </c>
      <c r="B23" s="4">
        <v>2.7349999999999999E-2</v>
      </c>
      <c r="C23" s="4">
        <v>5.6499999999999996E-3</v>
      </c>
      <c r="D23" s="4">
        <v>2.1999999999999999E-2</v>
      </c>
      <c r="E23" s="4">
        <v>0.315</v>
      </c>
      <c r="F23" s="4">
        <v>2.3E-2</v>
      </c>
      <c r="G23" s="4">
        <v>2.3E-2</v>
      </c>
      <c r="H23" s="4">
        <v>2.3E-2</v>
      </c>
      <c r="I23" s="4">
        <v>2.5999999999999999E-2</v>
      </c>
      <c r="J23" s="4">
        <v>4.8000000000000001E-2</v>
      </c>
      <c r="K23" s="4">
        <v>6.7000000000000004E-2</v>
      </c>
      <c r="L23" s="4">
        <v>0.183</v>
      </c>
    </row>
    <row r="24" spans="1:12" x14ac:dyDescent="0.25">
      <c r="A24" s="1" t="s">
        <v>4</v>
      </c>
      <c r="B24" s="4">
        <v>1.967E-2</v>
      </c>
      <c r="C24" s="4">
        <v>4.7299999999999998E-3</v>
      </c>
      <c r="D24" s="4">
        <v>1.6E-2</v>
      </c>
      <c r="E24" s="4">
        <v>0.309</v>
      </c>
      <c r="F24" s="4">
        <v>1.7000000000000001E-2</v>
      </c>
      <c r="G24" s="4">
        <v>1.7000000000000001E-2</v>
      </c>
      <c r="H24" s="4">
        <v>1.7000000000000001E-2</v>
      </c>
      <c r="I24" s="4">
        <v>1.7999999999999999E-2</v>
      </c>
      <c r="J24" s="4">
        <v>3.6999999999999998E-2</v>
      </c>
      <c r="K24" s="4">
        <v>5.5E-2</v>
      </c>
      <c r="L24" s="4">
        <v>0.18099999999999999</v>
      </c>
    </row>
    <row r="25" spans="1:12" x14ac:dyDescent="0.25">
      <c r="A25" s="1" t="s">
        <v>5</v>
      </c>
      <c r="B25" s="4" t="s">
        <v>5</v>
      </c>
      <c r="C25" s="4" t="s">
        <v>5</v>
      </c>
      <c r="D25" s="4" t="s">
        <v>5</v>
      </c>
      <c r="E25" s="4" t="s">
        <v>5</v>
      </c>
      <c r="F25" s="4" t="s">
        <v>5</v>
      </c>
      <c r="G25" s="4" t="s">
        <v>5</v>
      </c>
      <c r="H25" s="4" t="s">
        <v>5</v>
      </c>
      <c r="I25" s="4" t="s">
        <v>5</v>
      </c>
      <c r="J25" s="4" t="s">
        <v>5</v>
      </c>
      <c r="K25" s="4" t="s">
        <v>5</v>
      </c>
      <c r="L25" s="4" t="s">
        <v>5</v>
      </c>
    </row>
    <row r="26" spans="1:12" x14ac:dyDescent="0.25">
      <c r="A26" s="1" t="s">
        <v>0</v>
      </c>
      <c r="B26" s="4">
        <v>3.6229999999999998E-2</v>
      </c>
      <c r="C26" s="4">
        <v>6.5500000000000003E-3</v>
      </c>
      <c r="D26" s="4">
        <v>3.1E-2</v>
      </c>
      <c r="E26" s="4">
        <v>0.193</v>
      </c>
      <c r="F26" s="4">
        <v>3.1E-2</v>
      </c>
      <c r="G26" s="4">
        <v>3.1E-2</v>
      </c>
      <c r="H26" s="4">
        <v>3.2000000000000001E-2</v>
      </c>
      <c r="I26" s="4">
        <v>3.3000000000000002E-2</v>
      </c>
      <c r="J26" s="4">
        <v>0.06</v>
      </c>
      <c r="K26" s="4">
        <v>8.3000000000000004E-2</v>
      </c>
      <c r="L26" s="4">
        <v>0.18099999999999999</v>
      </c>
    </row>
    <row r="27" spans="1:12" x14ac:dyDescent="0.25">
      <c r="A27" s="1" t="s">
        <v>1</v>
      </c>
      <c r="B27" s="4">
        <v>3.533E-2</v>
      </c>
      <c r="C27" s="4">
        <v>6.7299999999999999E-3</v>
      </c>
      <c r="D27" s="4">
        <v>0.03</v>
      </c>
      <c r="E27" s="4">
        <v>0.314</v>
      </c>
      <c r="F27" s="4">
        <v>0.03</v>
      </c>
      <c r="G27" s="4">
        <v>0.03</v>
      </c>
      <c r="H27" s="4">
        <v>3.1E-2</v>
      </c>
      <c r="I27" s="4">
        <v>3.2000000000000001E-2</v>
      </c>
      <c r="J27" s="4">
        <v>5.8999999999999997E-2</v>
      </c>
      <c r="K27" s="4">
        <v>7.9000000000000001E-2</v>
      </c>
      <c r="L27" s="4">
        <v>0.31</v>
      </c>
    </row>
    <row r="28" spans="1:12" x14ac:dyDescent="0.25">
      <c r="A28" s="1" t="s">
        <v>2</v>
      </c>
      <c r="B28" s="4">
        <v>5.1310000000000001E-2</v>
      </c>
      <c r="C28" s="4">
        <v>1.23E-2</v>
      </c>
      <c r="D28" s="4">
        <v>3.9E-2</v>
      </c>
      <c r="E28" s="4">
        <v>0.33600000000000002</v>
      </c>
      <c r="F28" s="4">
        <v>3.9E-2</v>
      </c>
      <c r="G28" s="4">
        <v>0.04</v>
      </c>
      <c r="H28" s="4">
        <v>0.04</v>
      </c>
      <c r="I28" s="4">
        <v>4.8000000000000001E-2</v>
      </c>
      <c r="J28" s="4">
        <v>9.1999999999999998E-2</v>
      </c>
      <c r="K28" s="4">
        <v>0.14000000000000001</v>
      </c>
      <c r="L28" s="4">
        <v>0.23400000000000001</v>
      </c>
    </row>
    <row r="29" spans="1:12" x14ac:dyDescent="0.25">
      <c r="A29" s="1" t="s">
        <v>3</v>
      </c>
      <c r="B29" s="4">
        <v>2.8549999999999999E-2</v>
      </c>
      <c r="C29" s="4">
        <v>5.8700000000000002E-3</v>
      </c>
      <c r="D29" s="4">
        <v>2.3E-2</v>
      </c>
      <c r="E29" s="4">
        <v>0.19</v>
      </c>
      <c r="F29" s="4">
        <v>2.3E-2</v>
      </c>
      <c r="G29" s="4">
        <v>2.3E-2</v>
      </c>
      <c r="H29" s="4">
        <v>2.4E-2</v>
      </c>
      <c r="I29" s="4">
        <v>2.5999999999999999E-2</v>
      </c>
      <c r="J29" s="4">
        <v>4.9000000000000002E-2</v>
      </c>
      <c r="K29" s="4">
        <v>6.8000000000000005E-2</v>
      </c>
      <c r="L29" s="4">
        <v>0.182</v>
      </c>
    </row>
    <row r="30" spans="1:12" x14ac:dyDescent="0.25">
      <c r="A30" s="1" t="s">
        <v>4</v>
      </c>
      <c r="B30" s="4">
        <v>2.0310000000000002E-2</v>
      </c>
      <c r="C30" s="4">
        <v>4.8199999999999996E-3</v>
      </c>
      <c r="D30" s="4">
        <v>1.7000000000000001E-2</v>
      </c>
      <c r="E30" s="4">
        <v>0.30299999999999999</v>
      </c>
      <c r="F30" s="4">
        <v>1.7000000000000001E-2</v>
      </c>
      <c r="G30" s="4">
        <v>1.7000000000000001E-2</v>
      </c>
      <c r="H30" s="4">
        <v>1.7000000000000001E-2</v>
      </c>
      <c r="I30" s="4">
        <v>1.9E-2</v>
      </c>
      <c r="J30" s="4">
        <v>3.7999999999999999E-2</v>
      </c>
      <c r="K30" s="4">
        <v>5.7000000000000002E-2</v>
      </c>
      <c r="L30" s="4">
        <v>0.17</v>
      </c>
    </row>
    <row r="32" spans="1:12" x14ac:dyDescent="0.25">
      <c r="A32" t="str">
        <f>A2</f>
        <v xml:space="preserve">normal          </v>
      </c>
      <c r="B32">
        <f>AVERAGE(B2,B8,B14,B20,B26)</f>
        <v>3.5824000000000002E-2</v>
      </c>
      <c r="C32">
        <f t="shared" ref="C32:L32" si="0">AVERAGE(C2,C8,C14,C20,C26)</f>
        <v>7.1440000000000002E-3</v>
      </c>
      <c r="D32">
        <f t="shared" si="0"/>
        <v>3.1E-2</v>
      </c>
      <c r="E32">
        <f t="shared" si="0"/>
        <v>0.31159999999999999</v>
      </c>
      <c r="F32">
        <f t="shared" si="0"/>
        <v>3.1E-2</v>
      </c>
      <c r="G32">
        <f t="shared" si="0"/>
        <v>3.1E-2</v>
      </c>
      <c r="H32">
        <f t="shared" si="0"/>
        <v>3.1399999999999997E-2</v>
      </c>
      <c r="I32">
        <f t="shared" si="0"/>
        <v>3.3000000000000002E-2</v>
      </c>
      <c r="J32">
        <f t="shared" si="0"/>
        <v>5.9199999999999996E-2</v>
      </c>
      <c r="K32">
        <f t="shared" si="0"/>
        <v>0.1336</v>
      </c>
      <c r="L32">
        <f t="shared" si="0"/>
        <v>0.28339999999999999</v>
      </c>
    </row>
    <row r="33" spans="1:13" x14ac:dyDescent="0.25">
      <c r="A33" t="str">
        <f>A3</f>
        <v xml:space="preserve">iter            </v>
      </c>
      <c r="B33">
        <f t="shared" ref="B33:L36" si="1">AVERAGE(B3,B9,B15,B21,B27)</f>
        <v>3.4944000000000003E-2</v>
      </c>
      <c r="C33">
        <f t="shared" si="1"/>
        <v>7.0860000000000003E-3</v>
      </c>
      <c r="D33">
        <f t="shared" si="1"/>
        <v>0.03</v>
      </c>
      <c r="E33">
        <f t="shared" si="1"/>
        <v>0.30900000000000005</v>
      </c>
      <c r="F33">
        <f t="shared" si="1"/>
        <v>0.03</v>
      </c>
      <c r="G33">
        <f t="shared" si="1"/>
        <v>0.03</v>
      </c>
      <c r="H33">
        <f t="shared" si="1"/>
        <v>3.0800000000000001E-2</v>
      </c>
      <c r="I33">
        <f t="shared" si="1"/>
        <v>3.2000000000000001E-2</v>
      </c>
      <c r="J33">
        <f t="shared" si="1"/>
        <v>5.8599999999999999E-2</v>
      </c>
      <c r="K33">
        <f t="shared" si="1"/>
        <v>0.1196</v>
      </c>
      <c r="L33">
        <f t="shared" si="1"/>
        <v>0.25340000000000001</v>
      </c>
    </row>
    <row r="34" spans="1:13" x14ac:dyDescent="0.25">
      <c r="A34" t="str">
        <f>A4</f>
        <v xml:space="preserve">sse v1          </v>
      </c>
      <c r="B34">
        <f t="shared" si="1"/>
        <v>5.1998000000000003E-2</v>
      </c>
      <c r="C34">
        <f t="shared" si="1"/>
        <v>1.3060000000000002E-2</v>
      </c>
      <c r="D34">
        <f t="shared" si="1"/>
        <v>3.9E-2</v>
      </c>
      <c r="E34">
        <f t="shared" si="1"/>
        <v>0.4234</v>
      </c>
      <c r="F34">
        <f t="shared" si="1"/>
        <v>3.9E-2</v>
      </c>
      <c r="G34">
        <f t="shared" si="1"/>
        <v>3.9800000000000002E-2</v>
      </c>
      <c r="H34">
        <f t="shared" si="1"/>
        <v>4.02E-2</v>
      </c>
      <c r="I34">
        <f t="shared" si="1"/>
        <v>4.8399999999999999E-2</v>
      </c>
      <c r="J34">
        <f t="shared" si="1"/>
        <v>9.3199999999999991E-2</v>
      </c>
      <c r="K34">
        <f t="shared" si="1"/>
        <v>0.16819999999999996</v>
      </c>
      <c r="L34">
        <f t="shared" si="1"/>
        <v>0.31500000000000006</v>
      </c>
    </row>
    <row r="35" spans="1:13" x14ac:dyDescent="0.25">
      <c r="A35" t="str">
        <f>A5</f>
        <v xml:space="preserve">sse v2          </v>
      </c>
      <c r="B35">
        <f t="shared" si="1"/>
        <v>2.7708E-2</v>
      </c>
      <c r="C35">
        <f t="shared" si="1"/>
        <v>5.7999999999999996E-3</v>
      </c>
      <c r="D35">
        <f t="shared" si="1"/>
        <v>2.2399999999999996E-2</v>
      </c>
      <c r="E35">
        <f t="shared" si="1"/>
        <v>0.26799999999999996</v>
      </c>
      <c r="F35">
        <f t="shared" si="1"/>
        <v>2.2799999999999997E-2</v>
      </c>
      <c r="G35">
        <f t="shared" si="1"/>
        <v>2.3E-2</v>
      </c>
      <c r="H35">
        <f t="shared" si="1"/>
        <v>2.3199999999999998E-2</v>
      </c>
      <c r="I35">
        <f t="shared" si="1"/>
        <v>2.6000000000000002E-2</v>
      </c>
      <c r="J35">
        <f t="shared" si="1"/>
        <v>4.8599999999999997E-2</v>
      </c>
      <c r="K35">
        <f t="shared" si="1"/>
        <v>7.1800000000000003E-2</v>
      </c>
      <c r="L35">
        <f t="shared" si="1"/>
        <v>0.19600000000000001</v>
      </c>
    </row>
    <row r="36" spans="1:13" x14ac:dyDescent="0.25">
      <c r="A36" t="str">
        <f>A6</f>
        <v xml:space="preserve">avx h           </v>
      </c>
      <c r="B36">
        <f t="shared" si="1"/>
        <v>1.9833999999999997E-2</v>
      </c>
      <c r="C36">
        <f t="shared" si="1"/>
        <v>4.8439999999999993E-3</v>
      </c>
      <c r="D36">
        <f t="shared" si="1"/>
        <v>1.66E-2</v>
      </c>
      <c r="E36">
        <f t="shared" si="1"/>
        <v>0.30959999999999999</v>
      </c>
      <c r="F36">
        <f t="shared" si="1"/>
        <v>1.6800000000000002E-2</v>
      </c>
      <c r="G36">
        <f t="shared" si="1"/>
        <v>1.7000000000000001E-2</v>
      </c>
      <c r="H36">
        <f t="shared" si="1"/>
        <v>1.7000000000000001E-2</v>
      </c>
      <c r="I36">
        <f t="shared" si="1"/>
        <v>1.84E-2</v>
      </c>
      <c r="J36">
        <f t="shared" si="1"/>
        <v>3.7200000000000004E-2</v>
      </c>
      <c r="K36">
        <f t="shared" si="1"/>
        <v>5.9199999999999996E-2</v>
      </c>
      <c r="L36">
        <f t="shared" si="1"/>
        <v>0.20379999999999998</v>
      </c>
    </row>
    <row r="37" spans="1:13" x14ac:dyDescent="0.25">
      <c r="C37" t="s">
        <v>18</v>
      </c>
    </row>
    <row r="38" spans="1:13" x14ac:dyDescent="0.25">
      <c r="A38" t="s">
        <v>0</v>
      </c>
      <c r="B38" s="5">
        <v>3.5824000000000002E-2</v>
      </c>
      <c r="C38" s="5">
        <f>D38/B38</f>
        <v>0.19941938365341669</v>
      </c>
      <c r="D38">
        <v>7.1440000000000002E-3</v>
      </c>
      <c r="E38" s="3">
        <v>3.1E-2</v>
      </c>
      <c r="F38">
        <v>0.31159999999999999</v>
      </c>
      <c r="G38" s="3">
        <v>3.1E-2</v>
      </c>
      <c r="H38" s="3">
        <v>3.1E-2</v>
      </c>
      <c r="I38">
        <v>3.1399999999999997E-2</v>
      </c>
      <c r="J38" s="3">
        <v>3.3000000000000002E-2</v>
      </c>
      <c r="K38">
        <v>5.9199999999999996E-2</v>
      </c>
      <c r="L38">
        <v>0.1336</v>
      </c>
      <c r="M38">
        <v>0.28339999999999999</v>
      </c>
    </row>
    <row r="39" spans="1:13" x14ac:dyDescent="0.25">
      <c r="A39" t="s">
        <v>1</v>
      </c>
      <c r="B39">
        <v>3.4944000000000003E-2</v>
      </c>
      <c r="C39" s="5">
        <f>D39/B39</f>
        <v>0.20278159340659341</v>
      </c>
      <c r="D39">
        <v>7.0860000000000003E-3</v>
      </c>
      <c r="E39" s="3">
        <v>0.03</v>
      </c>
      <c r="F39" s="3">
        <v>0.30900000000000005</v>
      </c>
      <c r="G39" s="3">
        <v>0.03</v>
      </c>
      <c r="H39" s="3">
        <v>0.03</v>
      </c>
      <c r="I39">
        <v>3.0800000000000001E-2</v>
      </c>
      <c r="J39" s="3">
        <v>3.2000000000000001E-2</v>
      </c>
      <c r="K39">
        <v>5.8599999999999999E-2</v>
      </c>
      <c r="L39">
        <v>0.1196</v>
      </c>
      <c r="M39">
        <v>0.25340000000000001</v>
      </c>
    </row>
    <row r="40" spans="1:13" x14ac:dyDescent="0.25">
      <c r="A40" t="s">
        <v>2</v>
      </c>
      <c r="B40">
        <v>5.1998000000000003E-2</v>
      </c>
      <c r="C40" s="5">
        <f>D40/B40</f>
        <v>0.25116350628870343</v>
      </c>
      <c r="D40">
        <v>1.3060000000000002E-2</v>
      </c>
      <c r="E40" s="3">
        <v>3.9E-2</v>
      </c>
      <c r="F40">
        <v>0.4234</v>
      </c>
      <c r="G40" s="3">
        <v>3.9E-2</v>
      </c>
      <c r="H40">
        <v>3.9800000000000002E-2</v>
      </c>
      <c r="I40">
        <v>4.02E-2</v>
      </c>
      <c r="J40">
        <v>4.8399999999999999E-2</v>
      </c>
      <c r="K40">
        <v>9.3199999999999991E-2</v>
      </c>
      <c r="L40">
        <v>0.16819999999999996</v>
      </c>
      <c r="M40" s="3">
        <v>0.31500000000000006</v>
      </c>
    </row>
    <row r="41" spans="1:13" x14ac:dyDescent="0.25">
      <c r="A41" t="s">
        <v>3</v>
      </c>
      <c r="B41">
        <v>2.7708E-2</v>
      </c>
      <c r="C41" s="5">
        <f>D41/B41</f>
        <v>0.20932582647610798</v>
      </c>
      <c r="D41">
        <v>5.7999999999999996E-3</v>
      </c>
      <c r="E41">
        <v>2.2399999999999996E-2</v>
      </c>
      <c r="F41" s="3">
        <v>0.26799999999999996</v>
      </c>
      <c r="G41">
        <v>2.2799999999999997E-2</v>
      </c>
      <c r="H41" s="3">
        <v>2.3E-2</v>
      </c>
      <c r="I41">
        <v>2.3199999999999998E-2</v>
      </c>
      <c r="J41" s="3">
        <v>2.6000000000000002E-2</v>
      </c>
      <c r="K41">
        <v>4.8599999999999997E-2</v>
      </c>
      <c r="L41">
        <v>7.1800000000000003E-2</v>
      </c>
      <c r="M41" s="3">
        <v>0.19600000000000001</v>
      </c>
    </row>
    <row r="42" spans="1:13" x14ac:dyDescent="0.25">
      <c r="A42" t="s">
        <v>4</v>
      </c>
      <c r="B42" s="5">
        <v>1.9834000000000001E-2</v>
      </c>
      <c r="C42" s="5">
        <f>D42/B42</f>
        <v>0.24422708480387209</v>
      </c>
      <c r="D42">
        <v>4.8439999999999993E-3</v>
      </c>
      <c r="E42">
        <v>1.66E-2</v>
      </c>
      <c r="F42">
        <v>0.30959999999999999</v>
      </c>
      <c r="G42">
        <v>1.6800000000000002E-2</v>
      </c>
      <c r="H42" s="3">
        <v>1.7000000000000001E-2</v>
      </c>
      <c r="I42" s="3">
        <v>1.7000000000000001E-2</v>
      </c>
      <c r="J42">
        <v>1.84E-2</v>
      </c>
      <c r="K42">
        <v>3.7200000000000004E-2</v>
      </c>
      <c r="L42">
        <v>5.9199999999999996E-2</v>
      </c>
      <c r="M42">
        <v>0.20379999999999998</v>
      </c>
    </row>
  </sheetData>
  <conditionalFormatting sqref="B32:B3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2:D3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:E3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2:F3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2:G3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2:H3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2:I3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2:J3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2:K3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2:L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:C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317294-BA08-43B1-B50E-6D37DD0648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!bench (5)</vt:lpstr>
      <vt:lpstr>B_S_RULES</vt:lpstr>
      <vt:lpstr>B_S_INSTR</vt:lpstr>
      <vt:lpstr>SUM_INSTR</vt:lpstr>
      <vt:lpstr>SUM</vt:lpstr>
      <vt:lpstr>!bench (4)</vt:lpstr>
      <vt:lpstr>!bench (3)</vt:lpstr>
      <vt:lpstr>!bench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</dc:creator>
  <cp:lastModifiedBy>baka</cp:lastModifiedBy>
  <dcterms:created xsi:type="dcterms:W3CDTF">2026-05-09T16:08:13Z</dcterms:created>
  <dcterms:modified xsi:type="dcterms:W3CDTF">2026-05-27T16:53:35Z</dcterms:modified>
</cp:coreProperties>
</file>