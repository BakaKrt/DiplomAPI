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2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drawings/drawing3.xml" ContentType="application/vnd.openxmlformats-officedocument.drawing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GITHUB\DiplomAPI\SomeBenchmarks\"/>
    </mc:Choice>
  </mc:AlternateContent>
  <xr:revisionPtr revIDLastSave="0" documentId="13_ncr:1_{A061D98B-5813-44BC-BEEA-88FD0D27AF6E}" xr6:coauthVersionLast="47" xr6:coauthVersionMax="47" xr10:uidLastSave="{00000000-0000-0000-0000-000000000000}"/>
  <bookViews>
    <workbookView xWindow="-120" yWindow="-120" windowWidth="29040" windowHeight="15720" xr2:uid="{17BA90DB-EAC0-4426-840B-1E7026F1E105}"/>
  </bookViews>
  <sheets>
    <sheet name="!bench (5)" sheetId="7" r:id="rId1"/>
    <sheet name="!bench (4)" sheetId="6" r:id="rId2"/>
    <sheet name="!bench (3)" sheetId="4" r:id="rId3"/>
    <sheet name="!bench" sheetId="2" r:id="rId4"/>
  </sheets>
  <definedNames>
    <definedName name="ExternalData_1" localSheetId="3" hidden="1">'!bench'!$A$1:$L$30</definedName>
    <definedName name="ExternalData_1" localSheetId="1" hidden="1">'!bench (4)'!$A$1:$L$35</definedName>
    <definedName name="ExternalData_2" localSheetId="0" hidden="1">'!bench (5)'!#REF!</definedName>
    <definedName name="ExternalData_3" localSheetId="2" hidden="1">'!bench (3)'!$A$1:$L$35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50" i="6" l="1"/>
  <c r="F50" i="6"/>
  <c r="G50" i="6"/>
  <c r="H50" i="6"/>
  <c r="I50" i="6"/>
  <c r="J50" i="6"/>
  <c r="K50" i="6"/>
  <c r="L50" i="6"/>
  <c r="E49" i="6"/>
  <c r="F49" i="6"/>
  <c r="G49" i="6"/>
  <c r="H49" i="6"/>
  <c r="I49" i="6"/>
  <c r="J49" i="6"/>
  <c r="K49" i="6"/>
  <c r="L49" i="6"/>
  <c r="E48" i="6"/>
  <c r="F48" i="6"/>
  <c r="G48" i="6"/>
  <c r="H48" i="6"/>
  <c r="I48" i="6"/>
  <c r="J48" i="6"/>
  <c r="K48" i="6"/>
  <c r="L48" i="6"/>
  <c r="E47" i="6"/>
  <c r="F47" i="6"/>
  <c r="G47" i="6"/>
  <c r="H47" i="6"/>
  <c r="I47" i="6"/>
  <c r="J47" i="6"/>
  <c r="K47" i="6"/>
  <c r="L47" i="6"/>
  <c r="B49" i="6"/>
  <c r="B46" i="6"/>
  <c r="B47" i="6"/>
  <c r="B48" i="6"/>
  <c r="B50" i="6"/>
  <c r="B45" i="6"/>
  <c r="A45" i="6"/>
  <c r="C38" i="2"/>
  <c r="L42" i="6"/>
  <c r="B37" i="6"/>
  <c r="A46" i="6"/>
  <c r="A47" i="6"/>
  <c r="A48" i="6"/>
  <c r="A49" i="6"/>
  <c r="A50" i="6"/>
  <c r="C37" i="6"/>
  <c r="D37" i="6"/>
  <c r="D43" i="6" s="1"/>
  <c r="E37" i="6"/>
  <c r="E43" i="6" s="1"/>
  <c r="F37" i="6"/>
  <c r="F43" i="6" s="1"/>
  <c r="G37" i="6"/>
  <c r="G43" i="6" s="1"/>
  <c r="H37" i="6"/>
  <c r="H43" i="6" s="1"/>
  <c r="I37" i="6"/>
  <c r="I43" i="6" s="1"/>
  <c r="J37" i="6"/>
  <c r="J43" i="6" s="1"/>
  <c r="K37" i="6"/>
  <c r="K43" i="6" s="1"/>
  <c r="L37" i="6"/>
  <c r="L43" i="6" s="1"/>
  <c r="C38" i="6"/>
  <c r="D38" i="6"/>
  <c r="E38" i="6"/>
  <c r="F38" i="6"/>
  <c r="G38" i="6"/>
  <c r="H38" i="6"/>
  <c r="I38" i="6"/>
  <c r="J38" i="6"/>
  <c r="K38" i="6"/>
  <c r="L38" i="6"/>
  <c r="C39" i="6"/>
  <c r="D39" i="6"/>
  <c r="E39" i="6"/>
  <c r="F39" i="6"/>
  <c r="G39" i="6"/>
  <c r="H39" i="6"/>
  <c r="I39" i="6"/>
  <c r="J39" i="6"/>
  <c r="K39" i="6"/>
  <c r="L39" i="6"/>
  <c r="C40" i="6"/>
  <c r="D40" i="6"/>
  <c r="E40" i="6"/>
  <c r="F40" i="6"/>
  <c r="G40" i="6"/>
  <c r="H40" i="6"/>
  <c r="I40" i="6"/>
  <c r="J40" i="6"/>
  <c r="K40" i="6"/>
  <c r="L40" i="6"/>
  <c r="C41" i="6"/>
  <c r="D41" i="6"/>
  <c r="E41" i="6"/>
  <c r="F41" i="6"/>
  <c r="G41" i="6"/>
  <c r="H41" i="6"/>
  <c r="I41" i="6"/>
  <c r="J41" i="6"/>
  <c r="K41" i="6"/>
  <c r="L41" i="6"/>
  <c r="C42" i="6"/>
  <c r="D42" i="6"/>
  <c r="E42" i="6"/>
  <c r="F42" i="6"/>
  <c r="G42" i="6"/>
  <c r="H42" i="6"/>
  <c r="I42" i="6"/>
  <c r="J42" i="6"/>
  <c r="K42" i="6"/>
  <c r="B38" i="6"/>
  <c r="B39" i="6"/>
  <c r="B40" i="6"/>
  <c r="B41" i="6"/>
  <c r="B42" i="6"/>
  <c r="C37" i="4"/>
  <c r="D37" i="4"/>
  <c r="E37" i="4"/>
  <c r="F37" i="4"/>
  <c r="G37" i="4"/>
  <c r="H37" i="4"/>
  <c r="I37" i="4"/>
  <c r="J37" i="4"/>
  <c r="K37" i="4"/>
  <c r="L37" i="4"/>
  <c r="C38" i="4"/>
  <c r="D38" i="4"/>
  <c r="E38" i="4"/>
  <c r="F38" i="4"/>
  <c r="G38" i="4"/>
  <c r="H38" i="4"/>
  <c r="I38" i="4"/>
  <c r="J38" i="4"/>
  <c r="K38" i="4"/>
  <c r="L38" i="4"/>
  <c r="C39" i="4"/>
  <c r="D39" i="4"/>
  <c r="E39" i="4"/>
  <c r="F39" i="4"/>
  <c r="G39" i="4"/>
  <c r="H39" i="4"/>
  <c r="I39" i="4"/>
  <c r="J39" i="4"/>
  <c r="K39" i="4"/>
  <c r="L39" i="4"/>
  <c r="C40" i="4"/>
  <c r="D40" i="4"/>
  <c r="E40" i="4"/>
  <c r="F40" i="4"/>
  <c r="G40" i="4"/>
  <c r="H40" i="4"/>
  <c r="I40" i="4"/>
  <c r="J40" i="4"/>
  <c r="K40" i="4"/>
  <c r="L40" i="4"/>
  <c r="C41" i="4"/>
  <c r="D41" i="4"/>
  <c r="E41" i="4"/>
  <c r="F41" i="4"/>
  <c r="G41" i="4"/>
  <c r="H41" i="4"/>
  <c r="I41" i="4"/>
  <c r="J41" i="4"/>
  <c r="K41" i="4"/>
  <c r="L41" i="4"/>
  <c r="C42" i="4"/>
  <c r="D42" i="4"/>
  <c r="E42" i="4"/>
  <c r="F42" i="4"/>
  <c r="G42" i="4"/>
  <c r="H42" i="4"/>
  <c r="I42" i="4"/>
  <c r="J42" i="4"/>
  <c r="K42" i="4"/>
  <c r="L42" i="4"/>
  <c r="B38" i="4"/>
  <c r="B39" i="4"/>
  <c r="B40" i="4"/>
  <c r="B41" i="4"/>
  <c r="B42" i="4"/>
  <c r="B37" i="4"/>
  <c r="A42" i="4"/>
  <c r="A38" i="4"/>
  <c r="A39" i="4"/>
  <c r="A40" i="4"/>
  <c r="A41" i="4"/>
  <c r="A37" i="4"/>
  <c r="C39" i="2"/>
  <c r="C40" i="2"/>
  <c r="C41" i="2"/>
  <c r="C42" i="2"/>
  <c r="L36" i="2"/>
  <c r="K36" i="2"/>
  <c r="J36" i="2"/>
  <c r="I36" i="2"/>
  <c r="H36" i="2"/>
  <c r="G36" i="2"/>
  <c r="F36" i="2"/>
  <c r="C32" i="2"/>
  <c r="D32" i="2"/>
  <c r="E32" i="2"/>
  <c r="F32" i="2"/>
  <c r="G32" i="2"/>
  <c r="H32" i="2"/>
  <c r="I32" i="2"/>
  <c r="J32" i="2"/>
  <c r="K32" i="2"/>
  <c r="L32" i="2"/>
  <c r="C33" i="2"/>
  <c r="D33" i="2"/>
  <c r="E33" i="2"/>
  <c r="F33" i="2"/>
  <c r="G33" i="2"/>
  <c r="H33" i="2"/>
  <c r="I33" i="2"/>
  <c r="J33" i="2"/>
  <c r="K33" i="2"/>
  <c r="L33" i="2"/>
  <c r="C34" i="2"/>
  <c r="D34" i="2"/>
  <c r="E34" i="2"/>
  <c r="F34" i="2"/>
  <c r="G34" i="2"/>
  <c r="H34" i="2"/>
  <c r="I34" i="2"/>
  <c r="J34" i="2"/>
  <c r="K34" i="2"/>
  <c r="L34" i="2"/>
  <c r="C35" i="2"/>
  <c r="D35" i="2"/>
  <c r="E35" i="2"/>
  <c r="F35" i="2"/>
  <c r="G35" i="2"/>
  <c r="H35" i="2"/>
  <c r="I35" i="2"/>
  <c r="J35" i="2"/>
  <c r="K35" i="2"/>
  <c r="L35" i="2"/>
  <c r="C36" i="2"/>
  <c r="D36" i="2"/>
  <c r="E36" i="2"/>
  <c r="B33" i="2"/>
  <c r="B34" i="2"/>
  <c r="B35" i="2"/>
  <c r="B36" i="2"/>
  <c r="B32" i="2"/>
  <c r="A33" i="2"/>
  <c r="A34" i="2"/>
  <c r="A35" i="2"/>
  <c r="A36" i="2"/>
  <c r="A32" i="2"/>
  <c r="J45" i="6" l="1"/>
  <c r="J46" i="6"/>
  <c r="I46" i="6"/>
  <c r="I45" i="6"/>
  <c r="F46" i="6"/>
  <c r="F45" i="6"/>
  <c r="L45" i="6"/>
  <c r="L46" i="6"/>
  <c r="H46" i="6"/>
  <c r="H45" i="6"/>
  <c r="G46" i="6"/>
  <c r="G45" i="6"/>
  <c r="E46" i="6"/>
  <c r="E45" i="6"/>
  <c r="K45" i="6"/>
  <c r="K46" i="6"/>
  <c r="D50" i="6"/>
  <c r="D48" i="6"/>
  <c r="D49" i="6"/>
  <c r="D47" i="6"/>
  <c r="D46" i="6"/>
  <c r="D45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15C685A-04B7-4C7D-A1F3-DA3CC9E3CDCF}" keepAlive="1" name="Запрос — !bench" description="Соединение с запросом &quot;!bench&quot; в книге." type="5" refreshedVersion="7" background="1" saveData="1">
    <dbPr connection="Provider=Microsoft.Mashup.OleDb.1;Data Source=$Workbook$;Location=!bench;Extended Properties=&quot;&quot;" command="SELECT * FROM [!bench]"/>
  </connection>
  <connection id="2" xr16:uid="{3EC2A258-EE0B-48AC-B84E-68D552A12965}" keepAlive="1" name="Запрос — !bench (2)" description="Соединение с запросом &quot;!bench (2)&quot; в книге." type="5" refreshedVersion="0" background="1">
    <dbPr connection="Provider=Microsoft.Mashup.OleDb.1;Data Source=$Workbook$;Location=&quot;!bench (2)&quot;;Extended Properties=&quot;&quot;" command="SELECT * FROM [!bench (2)]"/>
  </connection>
  <connection id="3" xr16:uid="{EDE62F28-FC04-44F2-B136-333F909C7F2B}" keepAlive="1" name="Запрос — !bench (3)" description="Соединение с запросом &quot;!bench (3)&quot; в книге." type="5" refreshedVersion="7" background="1" saveData="1">
    <dbPr connection="Provider=Microsoft.Mashup.OleDb.1;Data Source=$Workbook$;Location=&quot;!bench (3)&quot;;Extended Properties=&quot;&quot;" command="SELECT * FROM [!bench (3)]"/>
  </connection>
  <connection id="4" xr16:uid="{704E6911-2CE7-4971-A319-33129847DA09}" keepAlive="1" name="Запрос — !bench (4)" description="Соединение с запросом &quot;!bench (4)&quot; в книге." type="5" refreshedVersion="7" background="1" saveData="1">
    <dbPr connection="Provider=Microsoft.Mashup.OleDb.1;Data Source=$Workbook$;Location=&quot;!bench (4)&quot;;Extended Properties=&quot;&quot;" command="SELECT * FROM [!bench (4)]"/>
  </connection>
  <connection id="5" xr16:uid="{09AD09A9-8718-43F0-81FD-7AB80F6EE5B5}" keepAlive="1" name="Запрос — !bench (5)" description="Соединение с запросом &quot;!bench (5)&quot; в книге." type="5" refreshedVersion="0" background="1">
    <dbPr connection="Provider=Microsoft.Mashup.OleDb.1;Data Source=$Workbook$;Location=&quot;!bench (5)&quot;;Extended Properties=&quot;&quot;" command="SELECT * FROM [!bench (5)]"/>
  </connection>
</connections>
</file>

<file path=xl/sharedStrings.xml><?xml version="1.0" encoding="utf-8"?>
<sst xmlns="http://schemas.openxmlformats.org/spreadsheetml/2006/main" count="285" uniqueCount="49">
  <si>
    <t xml:space="preserve">normal          </t>
  </si>
  <si>
    <t xml:space="preserve">iter            </t>
  </si>
  <si>
    <t xml:space="preserve">sse v1          </t>
  </si>
  <si>
    <t xml:space="preserve">sse v2          </t>
  </si>
  <si>
    <t xml:space="preserve">avx h           </t>
  </si>
  <si>
    <t/>
  </si>
  <si>
    <t>Название</t>
  </si>
  <si>
    <t>Среднее время</t>
  </si>
  <si>
    <t>Отклонение</t>
  </si>
  <si>
    <t>Мин</t>
  </si>
  <si>
    <t>Макс</t>
  </si>
  <si>
    <t>0.001%</t>
  </si>
  <si>
    <t>0.1%</t>
  </si>
  <si>
    <t>1%</t>
  </si>
  <si>
    <t>50%</t>
  </si>
  <si>
    <t>99%</t>
  </si>
  <si>
    <t>99.9%</t>
  </si>
  <si>
    <t>99.999%</t>
  </si>
  <si>
    <t>коэф.вариации</t>
  </si>
  <si>
    <t xml:space="preserve">Algorithm       </t>
  </si>
  <si>
    <t xml:space="preserve">        Avg </t>
  </si>
  <si>
    <t xml:space="preserve">     StdDev </t>
  </si>
  <si>
    <t xml:space="preserve">        Min </t>
  </si>
  <si>
    <t xml:space="preserve">        Max </t>
  </si>
  <si>
    <t xml:space="preserve">    p0.001% </t>
  </si>
  <si>
    <t xml:space="preserve">      p0.1% </t>
  </si>
  <si>
    <t xml:space="preserve">        p1% </t>
  </si>
  <si>
    <t xml:space="preserve">       p50% </t>
  </si>
  <si>
    <t xml:space="preserve">       p99% </t>
  </si>
  <si>
    <t xml:space="preserve">     p99.9% </t>
  </si>
  <si>
    <t xml:space="preserve">   p99.999%</t>
  </si>
  <si>
    <t xml:space="preserve">v lob           </t>
  </si>
  <si>
    <t>-</t>
  </si>
  <si>
    <t>name</t>
  </si>
  <si>
    <t>IPC</t>
  </si>
  <si>
    <t>CPI</t>
  </si>
  <si>
    <t>L1_ACCESS</t>
  </si>
  <si>
    <t>MISALIGNED_LOADS</t>
  </si>
  <si>
    <t>L2_by_L1_MISS</t>
  </si>
  <si>
    <t>0.01%</t>
  </si>
  <si>
    <t>99.99%</t>
  </si>
  <si>
    <t>Среднее отклонение</t>
  </si>
  <si>
    <t>SSE</t>
  </si>
  <si>
    <t>SSE 2</t>
  </si>
  <si>
    <t>AVX</t>
  </si>
  <si>
    <t>Среднее</t>
  </si>
  <si>
    <t>Наивный</t>
  </si>
  <si>
    <t>Скалярный</t>
  </si>
  <si>
    <t>Скалярный опт.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</si>
</sst>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"/>
    <numFmt numFmtId="165" formatCode="0.00000"/>
    <numFmt numFmtId="166" formatCode="0.000000"/>
    <numFmt numFmtId="167" formatCode="0.000"/>
  </numFmts>
  <fonts count="1" x14ac:knownFonts="1">
    <font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79998168889431442"/>
        <bgColor theme="9" tint="0.79998168889431442"/>
      </patternFill>
    </fill>
  </fills>
  <borders count="2">
    <border>
      <left/>
      <right/>
      <top/>
      <bottom/>
      <diagonal/>
    </border>
    <border>
      <left style="thin">
        <color theme="9" tint="0.39997558519241921"/>
      </left>
      <right/>
      <top style="thin">
        <color theme="9" tint="0.39997558519241921"/>
      </top>
      <bottom style="thin">
        <color theme="9" tint="0.3999755851924192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NumberFormat="1"/>
    <xf numFmtId="9" fontId="0" fillId="0" borderId="0" xfId="0" applyNumberForma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0" fillId="0" borderId="1" xfId="0" applyNumberFormat="1" applyFont="1" applyBorder="1"/>
    <xf numFmtId="0" fontId="0" fillId="2" borderId="1" xfId="0" applyNumberFormat="1" applyFont="1" applyFill="1" applyBorder="1"/>
    <xf numFmtId="1" fontId="0" fillId="0" borderId="0" xfId="0" applyNumberFormat="1"/>
  </cellXfs>
  <cellStyles count="1">
    <cellStyle name="Обычный" xfId="0" builtinId="0"/>
  </cellStyles>
  <dxfs count="37"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  <dxf>
      <numFmt numFmtId="0" formatCode="General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165" formatCode="0.00000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10" Type="http://schemas.openxmlformats.org/officeDocument/2006/relationships/customXml" Target="../customXml/item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(5)'!$B$1</c:f>
              <c:strCache>
                <c:ptCount val="1"/>
                <c:pt idx="0">
                  <c:v>IPC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7880543069072616E-3"/>
                  <c:y val="-0.3239803878681831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A4AC-4C94-95E4-5BD83481208D}"/>
                </c:ext>
              </c:extLst>
            </c:dLbl>
            <c:dLbl>
              <c:idx val="1"/>
              <c:layout>
                <c:manualLayout>
                  <c:x val="-5.1113738489697729E-17"/>
                  <c:y val="-0.3374194371536891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A4AC-4C94-95E4-5BD83481208D}"/>
                </c:ext>
              </c:extLst>
            </c:dLbl>
            <c:dLbl>
              <c:idx val="2"/>
              <c:layout>
                <c:manualLayout>
                  <c:x val="-1.0222747697939546E-16"/>
                  <c:y val="-0.3367107757363662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A4AC-4C94-95E4-5BD83481208D}"/>
                </c:ext>
              </c:extLst>
            </c:dLbl>
            <c:dLbl>
              <c:idx val="3"/>
              <c:layout>
                <c:manualLayout>
                  <c:x val="0"/>
                  <c:y val="-0.207838291046952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A4AC-4C94-95E4-5BD83481208D}"/>
                </c:ext>
              </c:extLst>
            </c:dLbl>
            <c:dLbl>
              <c:idx val="4"/>
              <c:layout>
                <c:manualLayout>
                  <c:x val="-1.0222747697939546E-16"/>
                  <c:y val="-0.38644356955380577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4AC-4C94-95E4-5BD83481208D}"/>
                </c:ext>
              </c:extLst>
            </c:dLbl>
            <c:dLbl>
              <c:idx val="5"/>
              <c:layout>
                <c:manualLayout>
                  <c:x val="2.7880543069072616E-3"/>
                  <c:y val="-0.308415718868474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A4AC-4C94-95E4-5BD83481208D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(5)'!$B$2:$B$7</c:f>
              <c:numCache>
                <c:formatCode>0.000</c:formatCode>
                <c:ptCount val="6"/>
                <c:pt idx="0">
                  <c:v>3.331</c:v>
                </c:pt>
                <c:pt idx="1">
                  <c:v>3.39</c:v>
                </c:pt>
                <c:pt idx="2">
                  <c:v>3.38</c:v>
                </c:pt>
                <c:pt idx="3">
                  <c:v>1.9530000000000001</c:v>
                </c:pt>
                <c:pt idx="4">
                  <c:v>4.0819999999999999</c:v>
                </c:pt>
                <c:pt idx="5">
                  <c:v>3.242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4AC-4C94-95E4-5BD83481208D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75"/>
        <c:overlap val="100"/>
        <c:axId val="1607856495"/>
        <c:axId val="1607868143"/>
      </c:barChart>
      <c:catAx>
        <c:axId val="16078564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8143"/>
        <c:crosses val="autoZero"/>
        <c:auto val="1"/>
        <c:lblAlgn val="ctr"/>
        <c:lblOffset val="100"/>
        <c:noMultiLvlLbl val="0"/>
      </c:catAx>
      <c:valAx>
        <c:axId val="1607868143"/>
        <c:scaling>
          <c:orientation val="minMax"/>
          <c:max val="4.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инструкций</a:t>
                </a:r>
                <a:r>
                  <a:rPr lang="ru-RU" baseline="0"/>
                  <a:t> за цикл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6495"/>
        <c:crosses val="autoZero"/>
        <c:crossBetween val="between"/>
        <c:majorUnit val="0.4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(5)'!$C$1</c:f>
              <c:strCache>
                <c:ptCount val="1"/>
                <c:pt idx="0">
                  <c:v>CPI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2.5470830401021939E-17"/>
                  <c:y val="-0.2011012685914261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8CCB-4B8A-8E31-BED41622132B}"/>
                </c:ext>
              </c:extLst>
            </c:dLbl>
            <c:dLbl>
              <c:idx val="1"/>
              <c:layout>
                <c:manualLayout>
                  <c:x val="0"/>
                  <c:y val="-0.1938148877223680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8CCB-4B8A-8E31-BED41622132B}"/>
                </c:ext>
              </c:extLst>
            </c:dLbl>
            <c:dLbl>
              <c:idx val="2"/>
              <c:layout>
                <c:manualLayout>
                  <c:x val="0"/>
                  <c:y val="-0.1897167541557305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8CCB-4B8A-8E31-BED41622132B}"/>
                </c:ext>
              </c:extLst>
            </c:dLbl>
            <c:dLbl>
              <c:idx val="3"/>
              <c:layout>
                <c:manualLayout>
                  <c:x val="0"/>
                  <c:y val="-0.30448454359871685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8CCB-4B8A-8E31-BED41622132B}"/>
                </c:ext>
              </c:extLst>
            </c:dLbl>
            <c:dLbl>
              <c:idx val="4"/>
              <c:layout>
                <c:manualLayout>
                  <c:x val="-1.0188332160408776E-16"/>
                  <c:y val="-0.1626184747739865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8CCB-4B8A-8E31-BED41622132B}"/>
                </c:ext>
              </c:extLst>
            </c:dLbl>
            <c:dLbl>
              <c:idx val="5"/>
              <c:layout>
                <c:manualLayout>
                  <c:x val="0"/>
                  <c:y val="-0.19609251968503938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8CCB-4B8A-8E31-BED41622132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(5)'!$C$2:$C$7</c:f>
              <c:numCache>
                <c:formatCode>0.000</c:formatCode>
                <c:ptCount val="6"/>
                <c:pt idx="0">
                  <c:v>0.3</c:v>
                </c:pt>
                <c:pt idx="1">
                  <c:v>0.29499999999999998</c:v>
                </c:pt>
                <c:pt idx="2">
                  <c:v>0.29599999999999999</c:v>
                </c:pt>
                <c:pt idx="3">
                  <c:v>0.51200000000000001</c:v>
                </c:pt>
                <c:pt idx="4">
                  <c:v>0.245</c:v>
                </c:pt>
                <c:pt idx="5">
                  <c:v>0.308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CCB-4B8A-8E31-BED41622132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1765974879"/>
        <c:axId val="1765978623"/>
      </c:barChart>
      <c:catAx>
        <c:axId val="1765974879"/>
        <c:scaling>
          <c:orientation val="minMax"/>
        </c:scaling>
        <c:delete val="0"/>
        <c:axPos val="b"/>
        <c:title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8623"/>
        <c:crosses val="autoZero"/>
        <c:auto val="1"/>
        <c:lblAlgn val="ctr"/>
        <c:lblOffset val="100"/>
        <c:noMultiLvlLbl val="0"/>
      </c:catAx>
      <c:valAx>
        <c:axId val="1765978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59748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1.061132983377077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6542-4F03-A4A5-44BE51CD4A81}"/>
                </c:ext>
              </c:extLst>
            </c:dLbl>
            <c:dLbl>
              <c:idx val="1"/>
              <c:layout>
                <c:manualLayout>
                  <c:x val="0"/>
                  <c:y val="1.3819626713327458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6542-4F03-A4A5-44BE51CD4A81}"/>
                </c:ext>
              </c:extLst>
            </c:dLbl>
            <c:dLbl>
              <c:idx val="2"/>
              <c:layout>
                <c:manualLayout>
                  <c:x val="0"/>
                  <c:y val="1.4799504228638087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6542-4F03-A4A5-44BE51CD4A81}"/>
                </c:ext>
              </c:extLst>
            </c:dLbl>
            <c:dLbl>
              <c:idx val="3"/>
              <c:layout>
                <c:manualLayout>
                  <c:x val="-2.7840241732215456E-3"/>
                  <c:y val="1.6874453193350829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6542-4F03-A4A5-44BE51CD4A81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542-4F03-A4A5-44BE51CD4A8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(5)'!$E$1</c:f>
              <c:strCache>
                <c:ptCount val="1"/>
                <c:pt idx="0">
                  <c:v>L2_by_L1_MISS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10016331291921843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EC09-4207-B30E-B847B0081B9E}"/>
                </c:ext>
              </c:extLst>
            </c:dLbl>
            <c:dLbl>
              <c:idx val="1"/>
              <c:layout>
                <c:manualLayout>
                  <c:x val="-5.0900855790023482E-17"/>
                  <c:y val="-0.11866542723826189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EC09-4207-B30E-B847B0081B9E}"/>
                </c:ext>
              </c:extLst>
            </c:dLbl>
            <c:dLbl>
              <c:idx val="2"/>
              <c:layout>
                <c:manualLayout>
                  <c:x val="-1.0180171158004696E-16"/>
                  <c:y val="-8.3155438903470311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EC09-4207-B30E-B847B0081B9E}"/>
                </c:ext>
              </c:extLst>
            </c:dLbl>
            <c:dLbl>
              <c:idx val="3"/>
              <c:layout>
                <c:manualLayout>
                  <c:x val="0"/>
                  <c:y val="-0.38419655876348791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EC09-4207-B30E-B847B0081B9E}"/>
                </c:ext>
              </c:extLst>
            </c:dLbl>
            <c:dLbl>
              <c:idx val="4"/>
              <c:layout>
                <c:manualLayout>
                  <c:x val="0"/>
                  <c:y val="-6.3976742490522098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C09-4207-B30E-B847B0081B9E}"/>
                </c:ext>
              </c:extLst>
            </c:dLbl>
            <c:dLbl>
              <c:idx val="5"/>
              <c:layout>
                <c:manualLayout>
                  <c:x val="-1.0180173383568863E-16"/>
                  <c:y val="-0.1147685185185186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C09-4207-B30E-B847B0081B9E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Base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(5)'!$E$2:$E$7</c:f>
              <c:numCache>
                <c:formatCode>0</c:formatCode>
                <c:ptCount val="6"/>
                <c:pt idx="0">
                  <c:v>31650</c:v>
                </c:pt>
                <c:pt idx="1">
                  <c:v>36675</c:v>
                </c:pt>
                <c:pt idx="2">
                  <c:v>28200</c:v>
                </c:pt>
                <c:pt idx="3">
                  <c:v>165050</c:v>
                </c:pt>
                <c:pt idx="4">
                  <c:v>19200</c:v>
                </c:pt>
                <c:pt idx="5">
                  <c:v>32175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09-4207-B30E-B847B0081B9E}"/>
            </c:ext>
          </c:extLst>
        </c:ser>
        <c:dLbls>
          <c:dLblPos val="inBase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68505695"/>
        <c:axId val="1668501535"/>
      </c:barChart>
      <c:catAx>
        <c:axId val="166850569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1535"/>
        <c:crosses val="autoZero"/>
        <c:auto val="1"/>
        <c:lblAlgn val="ctr"/>
        <c:lblOffset val="100"/>
        <c:noMultiLvlLbl val="0"/>
      </c:catAx>
      <c:valAx>
        <c:axId val="1668501535"/>
        <c:scaling>
          <c:orientation val="minMax"/>
          <c:max val="170000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L2</a:t>
                </a:r>
                <a:r>
                  <a:rPr lang="ru-RU" baseline="0"/>
                  <a:t> кэшу</a:t>
                </a:r>
                <a:r>
                  <a:rPr lang="en-US" baseline="0"/>
                  <a:t> </a:t>
                </a:r>
                <a:r>
                  <a:rPr lang="ru-RU" baseline="0"/>
                  <a:t>(тыс)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6850569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'!bench (5)'!$F$1</c:f>
              <c:strCache>
                <c:ptCount val="1"/>
                <c:pt idx="0">
                  <c:v>MISALIGNED_LOADS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-0.3164625255176436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5-4E9D-4D83-82E8-4146F20226F8}"/>
                </c:ext>
              </c:extLst>
            </c:dLbl>
            <c:dLbl>
              <c:idx val="1"/>
              <c:layout>
                <c:manualLayout>
                  <c:x val="0"/>
                  <c:y val="-5.5491761446486022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4E9D-4D83-82E8-4146F20226F8}"/>
                </c:ext>
              </c:extLst>
            </c:dLbl>
            <c:dLbl>
              <c:idx val="2"/>
              <c:layout>
                <c:manualLayout>
                  <c:x val="-5.1039853558984624E-17"/>
                  <c:y val="-0.35148622047244094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6-4E9D-4D83-82E8-4146F20226F8}"/>
                </c:ext>
              </c:extLst>
            </c:dLbl>
            <c:dLbl>
              <c:idx val="3"/>
              <c:layout>
                <c:manualLayout>
                  <c:x val="0"/>
                  <c:y val="-0.3056536162146398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7-4E9D-4D83-82E8-4146F20226F8}"/>
                </c:ext>
              </c:extLst>
            </c:dLbl>
            <c:dLbl>
              <c:idx val="4"/>
              <c:layout>
                <c:manualLayout>
                  <c:x val="-2.7840241732215456E-3"/>
                  <c:y val="-4.1804097404491106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4E9D-4D83-82E8-4146F20226F8}"/>
                </c:ext>
              </c:extLst>
            </c:dLbl>
            <c:dLbl>
              <c:idx val="5"/>
              <c:layout>
                <c:manualLayout>
                  <c:x val="-1.1136096692886387E-2"/>
                  <c:y val="-5.1063356663750364E-2"/>
                </c:manualLayout>
              </c:layout>
              <c:dLblPos val="ctr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4E9D-4D83-82E8-4146F20226F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(5)'!$F$2:$F$7</c:f>
              <c:numCache>
                <c:formatCode>0</c:formatCode>
                <c:ptCount val="6"/>
                <c:pt idx="0">
                  <c:v>2668</c:v>
                </c:pt>
                <c:pt idx="1">
                  <c:v>44</c:v>
                </c:pt>
                <c:pt idx="2">
                  <c:v>3098</c:v>
                </c:pt>
                <c:pt idx="3">
                  <c:v>2608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E9D-4D83-82E8-4146F20226F8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100"/>
        <c:axId val="1607875631"/>
        <c:axId val="1607876047"/>
      </c:barChart>
      <c:catAx>
        <c:axId val="16078756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6047"/>
        <c:crosses val="autoZero"/>
        <c:auto val="1"/>
        <c:lblAlgn val="ctr"/>
        <c:lblOffset val="100"/>
        <c:noMultiLvlLbl val="0"/>
      </c:catAx>
      <c:valAx>
        <c:axId val="16078760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7563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(5)'!$D$1</c:f>
              <c:strCache>
                <c:ptCount val="1"/>
                <c:pt idx="0">
                  <c:v>L1_ACCESS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0"/>
                  <c:y val="2.7048337707786526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39B6-40FB-8FD3-B3466F5F81BF}"/>
                </c:ext>
              </c:extLst>
            </c:dLbl>
            <c:dLbl>
              <c:idx val="1"/>
              <c:layout>
                <c:manualLayout>
                  <c:x val="0"/>
                  <c:y val="9.1899970836978283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39B6-40FB-8FD3-B3466F5F81BF}"/>
                </c:ext>
              </c:extLst>
            </c:dLbl>
            <c:dLbl>
              <c:idx val="2"/>
              <c:layout>
                <c:manualLayout>
                  <c:x val="-1.0211250047041863E-16"/>
                  <c:y val="1.7253937007874014E-2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39B6-40FB-8FD3-B3466F5F81BF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(5)'!$A$2:$A$7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(5)'!$D$2:$D$7</c:f>
              <c:numCache>
                <c:formatCode>0</c:formatCode>
                <c:ptCount val="6"/>
                <c:pt idx="0">
                  <c:v>2753</c:v>
                </c:pt>
                <c:pt idx="1">
                  <c:v>48304</c:v>
                </c:pt>
                <c:pt idx="2">
                  <c:v>2717</c:v>
                </c:pt>
                <c:pt idx="3">
                  <c:v>621</c:v>
                </c:pt>
                <c:pt idx="4">
                  <c:v>1056</c:v>
                </c:pt>
                <c:pt idx="5">
                  <c:v>520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9B6-40FB-8FD3-B3466F5F81B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40"/>
        <c:axId val="1607859823"/>
        <c:axId val="1607861487"/>
      </c:barChart>
      <c:catAx>
        <c:axId val="1607859823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61487"/>
        <c:crosses val="autoZero"/>
        <c:auto val="1"/>
        <c:lblAlgn val="ctr"/>
        <c:lblOffset val="100"/>
        <c:noMultiLvlLbl val="0"/>
      </c:catAx>
      <c:valAx>
        <c:axId val="1607861487"/>
        <c:scaling>
          <c:orientation val="minMax"/>
          <c:max val="500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Количество обращений к </a:t>
                </a:r>
                <a:r>
                  <a:rPr lang="en-US"/>
                  <a:t>L1</a:t>
                </a:r>
                <a:r>
                  <a:rPr lang="ru-RU"/>
                  <a:t> кэшу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607859823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Минимальное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6727650147124292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8-2B36-4197-ACE0-F32902234B59}"/>
                </c:ext>
              </c:extLst>
            </c:dLbl>
            <c:dLbl>
              <c:idx val="1"/>
              <c:layout>
                <c:manualLayout>
                  <c:x val="-1.3939708455936962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D-2B36-4197-ACE0-F32902234B59}"/>
                </c:ext>
              </c:extLst>
            </c:dLbl>
            <c:dLbl>
              <c:idx val="2"/>
              <c:layout>
                <c:manualLayout>
                  <c:x val="-1.11517667647495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2B36-4197-ACE0-F32902234B59}"/>
                </c:ext>
              </c:extLst>
            </c:dLbl>
            <c:dLbl>
              <c:idx val="3"/>
              <c:layout>
                <c:manualLayout>
                  <c:x val="-8.363825073562146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A-2B36-4197-ACE0-F32902234B59}"/>
                </c:ext>
              </c:extLst>
            </c:dLbl>
            <c:dLbl>
              <c:idx val="4"/>
              <c:layout>
                <c:manualLayout>
                  <c:x val="-1.393970845593691E-2"/>
                  <c:y val="-8.4875562720133283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B-2B36-4197-ACE0-F32902234B59}"/>
                </c:ext>
              </c:extLst>
            </c:dLbl>
            <c:dLbl>
              <c:idx val="5"/>
              <c:layout>
                <c:manualLayout>
                  <c:x val="-1.3939708455936809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C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B36-4197-ACE0-F32902234B59}"/>
            </c:ext>
          </c:extLst>
        </c:ser>
        <c:ser>
          <c:idx val="1"/>
          <c:order val="1"/>
          <c:tx>
            <c:v>Максимальное</c:v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8.3333333333333332E-3"/>
                  <c:y val="4.6296296296296294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2B36-4197-ACE0-F32902234B59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B36-4197-ACE0-F32902234B59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966073808"/>
        <c:axId val="966065488"/>
      </c:barChart>
      <c:catAx>
        <c:axId val="96607380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65488"/>
        <c:crosses val="autoZero"/>
        <c:auto val="1"/>
        <c:lblAlgn val="ctr"/>
        <c:lblOffset val="100"/>
        <c:noMultiLvlLbl val="0"/>
      </c:catAx>
      <c:valAx>
        <c:axId val="966065488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96607380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Среднее время выполнения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2.8776287655022507E-3"/>
                  <c:y val="4.629629629629619E-3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7971-48F3-8403-CFC61CC27B62}"/>
                </c:ext>
              </c:extLst>
            </c:dLbl>
            <c:numFmt formatCode="#,##0.0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971-48F3-8403-CFC61CC27B62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axId val="2042136800"/>
        <c:axId val="2042140960"/>
      </c:barChart>
      <c:catAx>
        <c:axId val="20421368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0960"/>
        <c:crosses val="autoZero"/>
        <c:auto val="1"/>
        <c:lblAlgn val="ctr"/>
        <c:lblOffset val="100"/>
        <c:noMultiLvlLbl val="0"/>
      </c:catAx>
      <c:valAx>
        <c:axId val="204214096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.0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36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(4)'!$G$37:$G$42</c15:sqref>
                  </c15:fullRef>
                </c:ext>
              </c:extLst>
              <c:f>('!bench (4)'!$G$37,'!bench (4)'!$G$39:$G$42)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3.4000000000000002E-2</c:v>
                </c:pt>
                <c:pt idx="3">
                  <c:v>0.02</c:v>
                </c:pt>
                <c:pt idx="4">
                  <c:v>1.2199999999999999E-2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841-4D0D-A5CB-A53874ABDC20}"/>
            </c:ext>
          </c:extLst>
        </c:ser>
        <c:ser>
          <c:idx val="2"/>
          <c:order val="2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(4)'!$H$37:$H$42</c15:sqref>
                  </c15:fullRef>
                </c:ext>
              </c:extLst>
              <c:f>('!bench (4)'!$H$37,'!bench (4)'!$H$39:$H$42)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2.6197999999999999E-2</c:v>
                </c:pt>
                <c:pt idx="2">
                  <c:v>3.4800000000000005E-2</c:v>
                </c:pt>
                <c:pt idx="3">
                  <c:v>2.0200000000000003E-2</c:v>
                </c:pt>
                <c:pt idx="4">
                  <c:v>1.24E-2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841-4D0D-A5CB-A53874ABDC20}"/>
            </c:ext>
          </c:extLst>
        </c:ser>
        <c:ser>
          <c:idx val="3"/>
          <c:order val="3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dk1">
                <a:tint val="9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2"/>
              <c:layout>
                <c:manualLayout>
                  <c:x val="2.032930363332775E-3"/>
                  <c:y val="2.9503650389122154E-3"/>
                </c:manualLayout>
              </c:layout>
              <c:dLblPos val="outEnd"/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3841-4D0D-A5CB-A53874ABDC20}"/>
                </c:ext>
              </c:extLst>
            </c:dLbl>
            <c:numFmt formatCode="#,##0.0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(4)'!$I$37:$I$42</c15:sqref>
                  </c15:fullRef>
                </c:ext>
              </c:extLst>
              <c:f>('!bench (4)'!$I$37,'!bench (4)'!$I$39:$I$42)</c:f>
              <c:numCache>
                <c:formatCode>General</c:formatCode>
                <c:ptCount val="5"/>
                <c:pt idx="0">
                  <c:v>2.8000000000000004E-2</c:v>
                </c:pt>
                <c:pt idx="1">
                  <c:v>2.7600000000000003E-2</c:v>
                </c:pt>
                <c:pt idx="2">
                  <c:v>4.1600000000000005E-2</c:v>
                </c:pt>
                <c:pt idx="3">
                  <c:v>2.2799999999999997E-2</c:v>
                </c:pt>
                <c:pt idx="4">
                  <c:v>1.4200000000000001E-2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841-4D0D-A5CB-A53874ABDC20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2042145536"/>
        <c:axId val="2042144704"/>
        <c:extLst>
          <c:ext xmlns:c15="http://schemas.microsoft.com/office/drawing/2012/chart" uri="{02D57815-91ED-43cb-92C2-25804820EDAC}">
            <c15:filteredBa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'!bench (4)'!$F$1</c15:sqref>
                        </c15:formulaRef>
                      </c:ext>
                    </c:extLst>
                    <c:strCache>
                      <c:ptCount val="1"/>
                      <c:pt idx="0">
                        <c:v>0.01%</c:v>
                      </c:pt>
                    </c:strCache>
                  </c:strRef>
                </c:tx>
                <c:spPr>
                  <a:solidFill>
                    <a:schemeClr val="dk1">
                      <a:tint val="88500"/>
                    </a:schemeClr>
                  </a:solidFill>
                  <a:ln>
                    <a:noFill/>
                  </a:ln>
                  <a:effectLst/>
                </c:spPr>
                <c:invertIfNegative val="0"/>
                <c:dLbls>
                  <c:numFmt formatCode="#,##0.000" sourceLinked="0"/>
                  <c:spPr>
                    <a:noFill/>
                    <a:ln>
                      <a:noFill/>
                    </a:ln>
                    <a:effectLst/>
                  </c:spPr>
                  <c:txPr>
                    <a:bodyPr rot="-5400000" spcFirstLastPara="1" vertOverflow="ellipsis" wrap="square" lIns="38100" tIns="19050" rIns="38100" bIns="19050" anchor="ctr" anchorCtr="1">
                      <a:spAutoFit/>
                    </a:bodyPr>
                    <a:lstStyle/>
                    <a:p>
                      <a:pPr>
                        <a:defRPr sz="900" b="0" i="0" u="none" strike="noStrike" kern="1200" baseline="0">
                          <a:solidFill>
                            <a:schemeClr val="tx1">
                              <a:lumMod val="75000"/>
                              <a:lumOff val="25000"/>
                            </a:schemeClr>
                          </a:solidFill>
                          <a:latin typeface="+mn-lt"/>
                          <a:ea typeface="+mn-ea"/>
                          <a:cs typeface="+mn-cs"/>
                        </a:defRPr>
                      </a:pPr>
                      <a:endParaRPr lang="ru-RU"/>
                    </a:p>
                  </c:txPr>
                  <c:dLblPos val="outEnd"/>
                  <c:showLegendKey val="0"/>
                  <c:showVal val="1"/>
                  <c:showCatName val="0"/>
                  <c:showSerName val="0"/>
                  <c:showPercent val="0"/>
                  <c:showBubbleSize val="0"/>
                  <c:showLeaderLines val="0"/>
                  <c:extLst>
                    <c:ext uri="{CE6537A1-D6FC-4f65-9D91-7224C49458BB}">
                      <c15:showLeaderLines val="1"/>
                      <c15:leaderLines>
                        <c:spPr>
                          <a:ln w="9525" cap="flat" cmpd="sng" algn="ctr">
                            <a:solidFill>
                              <a:schemeClr val="tx1">
                                <a:lumMod val="35000"/>
                                <a:lumOff val="65000"/>
                              </a:schemeClr>
                            </a:solidFill>
                            <a:round/>
                          </a:ln>
                          <a:effectLst/>
                        </c:spPr>
                      </c15:leaderLines>
                    </c:ext>
                  </c:extLst>
                </c:dLbls>
                <c:cat>
                  <c:strRef>
                    <c:extLst>
                      <c:ext uri="{02D57815-91ED-43cb-92C2-25804820EDAC}">
                        <c15:fullRef>
                          <c15:sqref>'!bench (4)'!$A$37:$A$42</c15:sqref>
                        </c15:fullRef>
                        <c15:formulaRef>
                          <c15:sqref>('!bench (4)'!$A$37,'!bench (4)'!$A$39:$A$42)</c15:sqref>
                        </c15:formulaRef>
                      </c:ext>
                    </c:extLst>
                    <c:strCache>
                      <c:ptCount val="5"/>
                      <c:pt idx="0">
                        <c:v>Скалярный</c:v>
                      </c:pt>
                      <c:pt idx="1">
                        <c:v>Скалярный опт.</c:v>
                      </c:pt>
                      <c:pt idx="2">
                        <c:v>SSE</c:v>
                      </c:pt>
                      <c:pt idx="3">
                        <c:v>SSE 2</c:v>
                      </c:pt>
                      <c:pt idx="4">
                        <c:v>AVX</c:v>
                      </c:pt>
                    </c:strCache>
                  </c:strRef>
                </c:cat>
                <c:val>
                  <c:numRef>
                    <c:extLst>
                      <c:ext uri="{02D57815-91ED-43cb-92C2-25804820EDAC}">
                        <c15:fullRef>
                          <c15:sqref>'!bench (4)'!$F$37:$F$42</c15:sqref>
                        </c15:fullRef>
                        <c15:formulaRef>
                          <c15:sqref>('!bench (4)'!$F$37,'!bench (4)'!$F$39:$F$42)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2.7000000000000003E-2</c:v>
                      </c:pt>
                      <c:pt idx="1">
                        <c:v>2.6000000000000002E-2</c:v>
                      </c:pt>
                      <c:pt idx="2">
                        <c:v>3.3460000000000004E-2</c:v>
                      </c:pt>
                      <c:pt idx="3">
                        <c:v>0.02</c:v>
                      </c:pt>
                      <c:pt idx="4">
                        <c:v>1.2E-2</c:v>
                      </c:pt>
                    </c:numCache>
                  </c:numRef>
                </c:val>
                <c:extLst>
                  <c:ext xmlns:c16="http://schemas.microsoft.com/office/drawing/2014/chart" uri="{C3380CC4-5D6E-409C-BE32-E72D297353CC}">
                    <c16:uniqueId val="{00000000-3841-4D0D-A5CB-A53874ABDC20}"/>
                  </c:ext>
                </c:extLst>
              </c15:ser>
            </c15:filteredBarSeries>
          </c:ext>
        </c:extLst>
      </c:barChart>
      <c:catAx>
        <c:axId val="2042145536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4704"/>
        <c:crosses val="autoZero"/>
        <c:auto val="1"/>
        <c:lblAlgn val="ctr"/>
        <c:lblOffset val="100"/>
        <c:noMultiLvlLbl val="0"/>
      </c:catAx>
      <c:valAx>
        <c:axId val="20421447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5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1"/>
    </mc:Choice>
    <mc:Fallback>
      <c:style val="1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dk1">
                <a:tint val="885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6-91D5-481E-A4FE-40BC47291B28}"/>
                </c:ext>
              </c:extLst>
            </c:dLbl>
            <c:dLbl>
              <c:idx val="1"/>
              <c:layout>
                <c:manualLayout>
                  <c:x val="-6.158584023533910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91D5-481E-A4FE-40BC47291B28}"/>
                </c:ext>
              </c:extLst>
            </c:dLbl>
            <c:dLbl>
              <c:idx val="2"/>
              <c:layout>
                <c:manualLayout>
                  <c:x val="-6.1585840235338727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2-91D5-481E-A4FE-40BC47291B28}"/>
                </c:ext>
              </c:extLst>
            </c:dLbl>
            <c:dLbl>
              <c:idx val="3"/>
              <c:layout>
                <c:manualLayout>
                  <c:x val="-6.1585840235338727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1-91D5-481E-A4FE-40BC47291B28}"/>
                </c:ext>
              </c:extLst>
            </c:dLbl>
            <c:dLbl>
              <c:idx val="4"/>
              <c:layout>
                <c:manualLayout>
                  <c:x val="-8.2114453647118314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0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(4)'!$J$37:$J$42</c15:sqref>
                  </c15:fullRef>
                </c:ext>
              </c:extLst>
              <c:f>('!bench (4)'!$J$37,'!bench (4)'!$J$39:$J$42)</c:f>
              <c:numCache>
                <c:formatCode>General</c:formatCode>
                <c:ptCount val="5"/>
                <c:pt idx="0">
                  <c:v>5.2201999999999991E-2</c:v>
                </c:pt>
                <c:pt idx="1">
                  <c:v>4.8599999999999997E-2</c:v>
                </c:pt>
                <c:pt idx="2">
                  <c:v>7.9003999999999991E-2</c:v>
                </c:pt>
                <c:pt idx="3">
                  <c:v>4.5204000000000001E-2</c:v>
                </c:pt>
                <c:pt idx="4">
                  <c:v>2.8800000000000003E-2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D5-481E-A4FE-40BC47291B28}"/>
            </c:ext>
          </c:extLst>
        </c:ser>
        <c:ser>
          <c:idx val="1"/>
          <c:order val="1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dk1">
                <a:tint val="55000"/>
              </a:schemeClr>
            </a:solidFill>
            <a:ln>
              <a:noFill/>
            </a:ln>
            <a:effectLst/>
          </c:spPr>
          <c:invertIfNegative val="0"/>
          <c:dLbls>
            <c:dLbl>
              <c:idx val="0"/>
              <c:layout>
                <c:manualLayout>
                  <c:x val="-4.1057226823559339E-3"/>
                  <c:y val="-7.9235519948309581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4-91D5-481E-A4FE-40BC47291B28}"/>
                </c:ext>
              </c:extLst>
            </c:dLbl>
            <c:dLbl>
              <c:idx val="1"/>
              <c:layout>
                <c:manualLayout>
                  <c:x val="-4.1057226823558775E-3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91D5-481E-A4FE-40BC47291B28}"/>
                </c:ext>
              </c:extLst>
            </c:dLbl>
            <c:dLbl>
              <c:idx val="2"/>
              <c:layout>
                <c:manualLayout>
                  <c:x val="-8.2114453647118314E-3"/>
                  <c:y val="-3.961775997415479E-17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91D5-481E-A4FE-40BC47291B28}"/>
                </c:ext>
              </c:extLst>
            </c:dLbl>
            <c:dLbl>
              <c:idx val="3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91D5-481E-A4FE-40BC47291B28}"/>
                </c:ext>
              </c:extLst>
            </c:dLbl>
            <c:dLbl>
              <c:idx val="4"/>
              <c:layout>
                <c:manualLayout>
                  <c:x val="-1.0264306705889788E-2"/>
                  <c:y val="0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8-91D5-481E-A4FE-40BC47291B28}"/>
                </c:ext>
              </c:extLst>
            </c:dLbl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(4)'!$K$37:$K$42</c15:sqref>
                  </c15:fullRef>
                </c:ext>
              </c:extLst>
              <c:f>('!bench (4)'!$K$37,'!bench (4)'!$K$39:$K$42)</c:f>
              <c:numCache>
                <c:formatCode>General</c:formatCode>
                <c:ptCount val="5"/>
                <c:pt idx="0">
                  <c:v>9.4803999999999999E-2</c:v>
                </c:pt>
                <c:pt idx="1">
                  <c:v>7.0000000000000007E-2</c:v>
                </c:pt>
                <c:pt idx="2">
                  <c:v>0.115012</c:v>
                </c:pt>
                <c:pt idx="3">
                  <c:v>7.0008000000000001E-2</c:v>
                </c:pt>
                <c:pt idx="4">
                  <c:v>4.2999999999999997E-2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1D5-481E-A4FE-40BC47291B28}"/>
            </c:ext>
          </c:extLst>
        </c:ser>
        <c:ser>
          <c:idx val="2"/>
          <c:order val="2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dk1">
                <a:tint val="75000"/>
              </a:schemeClr>
            </a:solidFill>
            <a:ln>
              <a:noFill/>
            </a:ln>
            <a:effectLst/>
          </c:spPr>
          <c:invertIfNegative val="0"/>
          <c:dLbls>
            <c:numFmt formatCode="#,##0.00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(4)'!$L$37:$L$42</c15:sqref>
                  </c15:fullRef>
                </c:ext>
              </c:extLst>
              <c:f>('!bench (4)'!$L$37,'!bench (4)'!$L$39:$L$42)</c:f>
              <c:numCache>
                <c:formatCode>General</c:formatCode>
                <c:ptCount val="5"/>
                <c:pt idx="0">
                  <c:v>0.175122</c:v>
                </c:pt>
                <c:pt idx="1">
                  <c:v>0.17499999999999999</c:v>
                </c:pt>
                <c:pt idx="2">
                  <c:v>0.22578000000000001</c:v>
                </c:pt>
                <c:pt idx="3">
                  <c:v>0.1908</c:v>
                </c:pt>
                <c:pt idx="4" formatCode="0.00000">
                  <c:v>0.15198399999999998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91D5-481E-A4FE-40BC47291B28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75"/>
        <c:axId val="2042146368"/>
        <c:axId val="2042150944"/>
      </c:barChart>
      <c:catAx>
        <c:axId val="204214636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50944"/>
        <c:crosses val="autoZero"/>
        <c:auto val="1"/>
        <c:lblAlgn val="ctr"/>
        <c:lblOffset val="100"/>
        <c:noMultiLvlLbl val="0"/>
      </c:catAx>
      <c:valAx>
        <c:axId val="2042150944"/>
        <c:scaling>
          <c:orientation val="minMax"/>
          <c:max val="0.2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 (мс)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204214636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v>Коэффициент вариации</c:v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(4)'!$A$45:$A$50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(4)'!$B$45:$B$50</c:f>
              <c:numCache>
                <c:formatCode>General</c:formatCode>
                <c:ptCount val="6"/>
                <c:pt idx="0">
                  <c:v>23.506866815713831</c:v>
                </c:pt>
                <c:pt idx="1">
                  <c:v>11.508955485733424</c:v>
                </c:pt>
                <c:pt idx="2">
                  <c:v>19.167217448777262</c:v>
                </c:pt>
                <c:pt idx="3">
                  <c:v>24.095840867992766</c:v>
                </c:pt>
                <c:pt idx="4">
                  <c:v>24.096385542168676</c:v>
                </c:pt>
                <c:pt idx="5">
                  <c:v>20.917678812415655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17A-425E-9D26-2555AD0599E2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300"/>
        <c:axId val="157790799"/>
        <c:axId val="157788719"/>
      </c:barChart>
      <c:catAx>
        <c:axId val="1577907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88719"/>
        <c:crosses val="autoZero"/>
        <c:auto val="1"/>
        <c:lblAlgn val="ctr"/>
        <c:lblOffset val="100"/>
        <c:noMultiLvlLbl val="0"/>
      </c:catAx>
      <c:valAx>
        <c:axId val="157788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Проценты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57790799"/>
        <c:crosses val="autoZero"/>
        <c:crossBetween val="between"/>
        <c:majorUnit val="3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(4)'!$D$37:$D$42</c:f>
              <c:numCache>
                <c:formatCode>General</c:formatCode>
                <c:ptCount val="6"/>
                <c:pt idx="0">
                  <c:v>2.7000000000000003E-2</c:v>
                </c:pt>
                <c:pt idx="1">
                  <c:v>0.55200000000000005</c:v>
                </c:pt>
                <c:pt idx="2">
                  <c:v>2.6000000000000002E-2</c:v>
                </c:pt>
                <c:pt idx="3">
                  <c:v>3.3399999999999999E-2</c:v>
                </c:pt>
                <c:pt idx="4">
                  <c:v>0.02</c:v>
                </c:pt>
                <c:pt idx="5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2EC3-4F58-BD90-D15B6C24879C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(4)'!$B$37:$B$42</c:f>
              <c:numCache>
                <c:formatCode>General</c:formatCode>
                <c:ptCount val="6"/>
                <c:pt idx="0" formatCode="0.00000">
                  <c:v>3.1139999999999994E-2</c:v>
                </c:pt>
                <c:pt idx="1">
                  <c:v>0.621726</c:v>
                </c:pt>
                <c:pt idx="2">
                  <c:v>3.0237999999999998E-2</c:v>
                </c:pt>
                <c:pt idx="3">
                  <c:v>4.4041999999999998E-2</c:v>
                </c:pt>
                <c:pt idx="4">
                  <c:v>2.4496E-2</c:v>
                </c:pt>
                <c:pt idx="5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3-4F58-BD90-D15B6C24879C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-4.6373262332732091E-17"/>
                  <c:y val="-2.1152163333341106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4-2EC3-4F58-BD90-D15B6C24879C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'!bench (4)'!$A$37:$A$42</c:f>
              <c:strCache>
                <c:ptCount val="6"/>
                <c:pt idx="0">
                  <c:v>Скалярный</c:v>
                </c:pt>
                <c:pt idx="1">
                  <c:v>Наивный</c:v>
                </c:pt>
                <c:pt idx="2">
                  <c:v>Скалярный опт.</c:v>
                </c:pt>
                <c:pt idx="3">
                  <c:v>SSE</c:v>
                </c:pt>
                <c:pt idx="4">
                  <c:v>SSE 2</c:v>
                </c:pt>
                <c:pt idx="5">
                  <c:v>AVX</c:v>
                </c:pt>
              </c:strCache>
            </c:strRef>
          </c:cat>
          <c:val>
            <c:numRef>
              <c:f>'!bench (4)'!$E$37:$E$42</c:f>
              <c:numCache>
                <c:formatCode>General</c:formatCode>
                <c:ptCount val="6"/>
                <c:pt idx="0">
                  <c:v>0.1726</c:v>
                </c:pt>
                <c:pt idx="1">
                  <c:v>1.7100000000000002</c:v>
                </c:pt>
                <c:pt idx="2">
                  <c:v>0.16800000000000001</c:v>
                </c:pt>
                <c:pt idx="3">
                  <c:v>0.22639999999999999</c:v>
                </c:pt>
                <c:pt idx="4">
                  <c:v>0.17980000000000002</c:v>
                </c:pt>
                <c:pt idx="5">
                  <c:v>0.14179999999999998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2EC3-4F58-BD90-D15B6C24879C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2.5382596000009326E-2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1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(4)'!$D$37:$D$42</c15:sqref>
                  </c15:fullRef>
                </c:ext>
              </c:extLst>
              <c:f>('!bench (4)'!$D$37,'!bench (4)'!$D$39:$D$42)</c:f>
              <c:numCache>
                <c:formatCode>General</c:formatCode>
                <c:ptCount val="5"/>
                <c:pt idx="0">
                  <c:v>2.7000000000000003E-2</c:v>
                </c:pt>
                <c:pt idx="1">
                  <c:v>2.6000000000000002E-2</c:v>
                </c:pt>
                <c:pt idx="2">
                  <c:v>3.3399999999999999E-2</c:v>
                </c:pt>
                <c:pt idx="3">
                  <c:v>0.02</c:v>
                </c:pt>
                <c:pt idx="4">
                  <c:v>1.2E-2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570-4572-9788-2F11B7B68765}"/>
            </c:ext>
          </c:extLst>
        </c:ser>
        <c:ser>
          <c:idx val="0"/>
          <c:order val="1"/>
          <c:tx>
            <c:strRef>
              <c:f>'!bench (4)'!$B$1</c:f>
              <c:strCache>
                <c:ptCount val="1"/>
                <c:pt idx="0">
                  <c:v>Среднее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(4)'!$B$37:$B$42</c15:sqref>
                  </c15:fullRef>
                </c:ext>
              </c:extLst>
              <c:f>('!bench (4)'!$B$37,'!bench (4)'!$B$39:$B$42)</c:f>
              <c:numCache>
                <c:formatCode>General</c:formatCode>
                <c:ptCount val="5"/>
                <c:pt idx="0" formatCode="0.00000">
                  <c:v>3.1139999999999994E-2</c:v>
                </c:pt>
                <c:pt idx="1">
                  <c:v>3.0237999999999998E-2</c:v>
                </c:pt>
                <c:pt idx="2">
                  <c:v>4.4041999999999998E-2</c:v>
                </c:pt>
                <c:pt idx="3">
                  <c:v>2.4496E-2</c:v>
                </c:pt>
                <c:pt idx="4">
                  <c:v>1.4638000000000002E-2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570-4572-9788-2F11B7B68765}"/>
            </c:ext>
          </c:extLst>
        </c:ser>
        <c:ser>
          <c:idx val="2"/>
          <c:order val="2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(4)'!$A$37:$A$42</c15:sqref>
                  </c15:fullRef>
                </c:ext>
              </c:extLst>
              <c:f>('!bench (4)'!$A$37,'!bench (4)'!$A$39:$A$42)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(4)'!$E$37:$E$42</c15:sqref>
                  </c15:fullRef>
                </c:ext>
              </c:extLst>
              <c:f>('!bench (4)'!$E$37,'!bench (4)'!$E$39:$E$42)</c:f>
              <c:numCache>
                <c:formatCode>General</c:formatCode>
                <c:ptCount val="5"/>
                <c:pt idx="0">
                  <c:v>0.1726</c:v>
                </c:pt>
                <c:pt idx="1">
                  <c:v>0.16800000000000001</c:v>
                </c:pt>
                <c:pt idx="2">
                  <c:v>0.22639999999999999</c:v>
                </c:pt>
                <c:pt idx="3">
                  <c:v>0.17980000000000002</c:v>
                </c:pt>
                <c:pt idx="4">
                  <c:v>0.14179999999999998</c:v>
                </c:pt>
              </c:numCache>
            </c:numRef>
          </c:val>
          <c:extLst>
            <c:ext xmlns:c15="http://schemas.microsoft.com/office/drawing/2012/chart" uri="{02D57815-91ED-43cb-92C2-25804820EDAC}">
              <c15:categoryFilterExceptions>
                <c15:categoryFilterException>
                  <c15:sqref>'!bench (4)'!$E$38</c15:sqref>
                  <c15:dLbl>
                    <c:idx val="0"/>
                    <c:layout>
                      <c:manualLayout>
                        <c:x val="-4.6373262332732091E-17"/>
                        <c:y val="-2.1152163333341106E-2"/>
                      </c:manualLayout>
                    </c:layout>
                    <c:showLegendKey val="0"/>
                    <c:showVal val="1"/>
                    <c:showCatName val="0"/>
                    <c:showSerName val="0"/>
                    <c:showPercent val="0"/>
                    <c:showBubbleSize val="0"/>
                    <c:extLst>
                      <c:ext uri="{CE6537A1-D6FC-4f65-9D91-7224C49458BB}"/>
                      <c:ext xmlns:c16="http://schemas.microsoft.com/office/drawing/2014/chart" uri="{C3380CC4-5D6E-409C-BE32-E72D297353CC}">
                        <c16:uniqueId val="{00000001-B5BB-4C0B-8898-736B31593BE3}"/>
                      </c:ext>
                    </c:extLst>
                  </c15:dLbl>
                </c15:categoryFilterException>
              </c15:categoryFilterExceptions>
            </c:ext>
            <c:ext xmlns:c16="http://schemas.microsoft.com/office/drawing/2014/chart" uri="{C3380CC4-5D6E-409C-BE32-E72D297353CC}">
              <c16:uniqueId val="{00000003-C570-4572-9788-2F11B7B68765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gapWidth val="150"/>
        <c:overlap val="-25"/>
        <c:axId val="1763370575"/>
        <c:axId val="1763362671"/>
      </c:barChart>
      <c:catAx>
        <c:axId val="1763370575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 алгоритма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62671"/>
        <c:crosses val="autoZero"/>
        <c:auto val="1"/>
        <c:lblAlgn val="ctr"/>
        <c:lblOffset val="100"/>
        <c:noMultiLvlLbl val="0"/>
      </c:catAx>
      <c:valAx>
        <c:axId val="176336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Время</a:t>
                </a:r>
                <a:r>
                  <a:rPr lang="ru-RU" baseline="0"/>
                  <a:t> (мс)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76337057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0.36621112791898497"/>
          <c:y val="4.2304326666682207E-3"/>
          <c:w val="0.30299026349412794"/>
          <c:h val="7.13890509074278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 (4)'!$D$1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(4)'!$D$45:$D$50</c15:sqref>
                  </c15:fullRef>
                </c:ext>
              </c:extLst>
              <c:f>('!bench (4)'!$D$45,'!bench (4)'!$D$47:$D$50)</c:f>
              <c:numCache>
                <c:formatCode>0.000</c:formatCode>
                <c:ptCount val="5"/>
                <c:pt idx="0">
                  <c:v>20.444444444444443</c:v>
                </c:pt>
                <c:pt idx="1">
                  <c:v>21.23076923076923</c:v>
                </c:pt>
                <c:pt idx="2">
                  <c:v>16.526946107784433</c:v>
                </c:pt>
                <c:pt idx="3">
                  <c:v>27.6</c:v>
                </c:pt>
                <c:pt idx="4">
                  <c:v>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AA-492A-BDAC-1558DAB5B843}"/>
            </c:ext>
          </c:extLst>
        </c:ser>
        <c:ser>
          <c:idx val="1"/>
          <c:order val="1"/>
          <c:tx>
            <c:strRef>
              <c:f>'!bench (4)'!$E$1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(4)'!$E$45:$E$50</c15:sqref>
                  </c15:fullRef>
                </c:ext>
              </c:extLst>
              <c:f>('!bench (4)'!$E$45,'!bench (4)'!$E$47:$E$50)</c:f>
              <c:numCache>
                <c:formatCode>0.000</c:formatCode>
                <c:ptCount val="5"/>
                <c:pt idx="0">
                  <c:v>9.9073001158748557</c:v>
                </c:pt>
                <c:pt idx="1">
                  <c:v>10.178571428571429</c:v>
                </c:pt>
                <c:pt idx="2">
                  <c:v>7.5530035335689059</c:v>
                </c:pt>
                <c:pt idx="3">
                  <c:v>9.5105672969966637</c:v>
                </c:pt>
                <c:pt idx="4">
                  <c:v>12.05923836389281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8AA-492A-BDAC-1558DAB5B843}"/>
            </c:ext>
          </c:extLst>
        </c:ser>
        <c:ser>
          <c:idx val="2"/>
          <c:order val="2"/>
          <c:tx>
            <c:strRef>
              <c:f>'!bench (4)'!$F$1</c:f>
              <c:strCache>
                <c:ptCount val="1"/>
                <c:pt idx="0">
                  <c:v>0.01%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(4)'!$F$45:$F$50</c15:sqref>
                  </c15:fullRef>
                </c:ext>
              </c:extLst>
              <c:f>('!bench (4)'!$F$45,'!bench (4)'!$F$47:$F$50)</c:f>
              <c:numCache>
                <c:formatCode>0.000</c:formatCode>
                <c:ptCount val="5"/>
                <c:pt idx="0">
                  <c:v>20.437037037037037</c:v>
                </c:pt>
                <c:pt idx="1">
                  <c:v>21.223076923076924</c:v>
                </c:pt>
                <c:pt idx="2">
                  <c:v>16.491332934847581</c:v>
                </c:pt>
                <c:pt idx="3">
                  <c:v>27.590000000000003</c:v>
                </c:pt>
                <c:pt idx="4">
                  <c:v>45.983333333333341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48AA-492A-BDAC-1558DAB5B843}"/>
            </c:ext>
          </c:extLst>
        </c:ser>
        <c:ser>
          <c:idx val="3"/>
          <c:order val="3"/>
          <c:tx>
            <c:strRef>
              <c:f>'!bench (4)'!$G$1</c:f>
              <c:strCache>
                <c:ptCount val="1"/>
                <c:pt idx="0">
                  <c:v>0.1%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(4)'!$G$45:$G$50</c15:sqref>
                  </c15:fullRef>
                </c:ext>
              </c:extLst>
              <c:f>('!bench (4)'!$G$45,'!bench (4)'!$G$47:$G$50)</c:f>
              <c:numCache>
                <c:formatCode>0.000</c:formatCode>
                <c:ptCount val="5"/>
                <c:pt idx="0">
                  <c:v>20.444444444444443</c:v>
                </c:pt>
                <c:pt idx="1">
                  <c:v>21.23076923076923</c:v>
                </c:pt>
                <c:pt idx="2">
                  <c:v>16.235294117647058</c:v>
                </c:pt>
                <c:pt idx="3">
                  <c:v>27.6</c:v>
                </c:pt>
                <c:pt idx="4">
                  <c:v>45.245901639344268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48AA-492A-BDAC-1558DAB5B843}"/>
            </c:ext>
          </c:extLst>
        </c:ser>
        <c:ser>
          <c:idx val="4"/>
          <c:order val="4"/>
          <c:tx>
            <c:strRef>
              <c:f>'!bench (4)'!$H$1</c:f>
              <c:strCache>
                <c:ptCount val="1"/>
                <c:pt idx="0">
                  <c:v>1%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(4)'!$H$45:$H$50</c15:sqref>
                  </c15:fullRef>
                </c:ext>
              </c:extLst>
              <c:f>('!bench (4)'!$H$45,'!bench (4)'!$H$47:$H$50)</c:f>
              <c:numCache>
                <c:formatCode>0.000</c:formatCode>
                <c:ptCount val="5"/>
                <c:pt idx="0">
                  <c:v>20.481481481481481</c:v>
                </c:pt>
                <c:pt idx="1">
                  <c:v>21.108481563478129</c:v>
                </c:pt>
                <c:pt idx="2">
                  <c:v>15.890804597701148</c:v>
                </c:pt>
                <c:pt idx="3">
                  <c:v>27.376237623762375</c:v>
                </c:pt>
                <c:pt idx="4">
                  <c:v>44.596774193548391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48AA-492A-BDAC-1558DAB5B843}"/>
            </c:ext>
          </c:extLst>
        </c:ser>
        <c:ser>
          <c:idx val="5"/>
          <c:order val="5"/>
          <c:tx>
            <c:strRef>
              <c:f>'!bench (4)'!$I$1</c:f>
              <c:strCache>
                <c:ptCount val="1"/>
                <c:pt idx="0">
                  <c:v>50%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dLbls>
            <c:numFmt formatCode="#,##0.00" sourceLinked="0"/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(4)'!$I$45:$I$50</c15:sqref>
                  </c15:fullRef>
                </c:ext>
              </c:extLst>
              <c:f>('!bench (4)'!$I$45,'!bench (4)'!$I$47:$I$50)</c:f>
              <c:numCache>
                <c:formatCode>0.000</c:formatCode>
                <c:ptCount val="5"/>
                <c:pt idx="0">
                  <c:v>21.646428571428569</c:v>
                </c:pt>
                <c:pt idx="1">
                  <c:v>21.960144927536227</c:v>
                </c:pt>
                <c:pt idx="2">
                  <c:v>14.569711538461537</c:v>
                </c:pt>
                <c:pt idx="3">
                  <c:v>26.583333333333336</c:v>
                </c:pt>
                <c:pt idx="4">
                  <c:v>42.683098591549289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48AA-492A-BDAC-1558DAB5B843}"/>
            </c:ext>
          </c:extLst>
        </c:ser>
        <c:ser>
          <c:idx val="6"/>
          <c:order val="6"/>
          <c:tx>
            <c:strRef>
              <c:f>'!bench (4)'!$J$1</c:f>
              <c:strCache>
                <c:ptCount val="1"/>
                <c:pt idx="0">
                  <c:v>99%</c:v>
                </c:pt>
              </c:strCache>
            </c:strRef>
          </c:tx>
          <c:spPr>
            <a:solidFill>
              <a:schemeClr val="accent1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(4)'!$J$45:$J$50</c15:sqref>
                  </c15:fullRef>
                </c:ext>
              </c:extLst>
              <c:f>('!bench (4)'!$J$45,'!bench (4)'!$J$47:$J$50)</c:f>
              <c:numCache>
                <c:formatCode>0.000</c:formatCode>
                <c:ptCount val="5"/>
                <c:pt idx="0">
                  <c:v>15.202674227041113</c:v>
                </c:pt>
                <c:pt idx="1">
                  <c:v>16.329423868312759</c:v>
                </c:pt>
                <c:pt idx="2">
                  <c:v>10.045187585438713</c:v>
                </c:pt>
                <c:pt idx="3">
                  <c:v>17.556189717724095</c:v>
                </c:pt>
                <c:pt idx="4">
                  <c:v>27.555902777777778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48AA-492A-BDAC-1558DAB5B843}"/>
            </c:ext>
          </c:extLst>
        </c:ser>
        <c:ser>
          <c:idx val="7"/>
          <c:order val="7"/>
          <c:tx>
            <c:strRef>
              <c:f>'!bench (4)'!$K$1</c:f>
              <c:strCache>
                <c:ptCount val="1"/>
                <c:pt idx="0">
                  <c:v>99.9%</c:v>
                </c:pt>
              </c:strCache>
            </c:strRef>
          </c:tx>
          <c:spPr>
            <a:solidFill>
              <a:schemeClr val="accent2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(4)'!$K$45:$K$50</c15:sqref>
                  </c15:fullRef>
                </c:ext>
              </c:extLst>
              <c:f>('!bench (4)'!$K$45,'!bench (4)'!$K$47:$K$50)</c:f>
              <c:numCache>
                <c:formatCode>0.000</c:formatCode>
                <c:ptCount val="5"/>
                <c:pt idx="0">
                  <c:v>10.990802075861778</c:v>
                </c:pt>
                <c:pt idx="1">
                  <c:v>14.885314285714283</c:v>
                </c:pt>
                <c:pt idx="2">
                  <c:v>9.0596807289674111</c:v>
                </c:pt>
                <c:pt idx="3">
                  <c:v>14.883613301336988</c:v>
                </c:pt>
                <c:pt idx="4">
                  <c:v>24.231906976744185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48AA-492A-BDAC-1558DAB5B843}"/>
            </c:ext>
          </c:extLst>
        </c:ser>
        <c:ser>
          <c:idx val="8"/>
          <c:order val="8"/>
          <c:tx>
            <c:strRef>
              <c:f>'!bench (4)'!$L$1</c:f>
              <c:strCache>
                <c:ptCount val="1"/>
                <c:pt idx="0">
                  <c:v>99.99%</c:v>
                </c:pt>
              </c:strCache>
            </c:strRef>
          </c:tx>
          <c:spPr>
            <a:solidFill>
              <a:schemeClr val="accent3">
                <a:lumMod val="60000"/>
              </a:schemeClr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-540000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ru-RU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extLst>
                <c:ext xmlns:c15="http://schemas.microsoft.com/office/drawing/2012/chart" uri="{02D57815-91ED-43cb-92C2-25804820EDAC}">
                  <c15:fullRef>
                    <c15:sqref>'!bench (4)'!$A$45:$A$50</c15:sqref>
                  </c15:fullRef>
                </c:ext>
              </c:extLst>
              <c:f>('!bench (4)'!$A$45,'!bench (4)'!$A$47:$A$50)</c:f>
              <c:strCache>
                <c:ptCount val="5"/>
                <c:pt idx="0">
                  <c:v>Скалярный</c:v>
                </c:pt>
                <c:pt idx="1">
                  <c:v>Скалярный опт.</c:v>
                </c:pt>
                <c:pt idx="2">
                  <c:v>SSE</c:v>
                </c:pt>
                <c:pt idx="3">
                  <c:v>SSE 2</c:v>
                </c:pt>
                <c:pt idx="4">
                  <c:v>AVX</c:v>
                </c:pt>
              </c:strCache>
            </c:strRef>
          </c:cat>
          <c:val>
            <c:numRef>
              <c:extLst>
                <c:ext xmlns:c15="http://schemas.microsoft.com/office/drawing/2012/chart" uri="{02D57815-91ED-43cb-92C2-25804820EDAC}">
                  <c15:fullRef>
                    <c15:sqref>'!bench (4)'!$L$45:$L$50</c15:sqref>
                  </c15:fullRef>
                </c:ext>
              </c:extLst>
              <c:f>('!bench (4)'!$L$45,'!bench (4)'!$L$47:$L$50)</c:f>
              <c:numCache>
                <c:formatCode>0.000</c:formatCode>
                <c:ptCount val="5"/>
                <c:pt idx="0">
                  <c:v>9.5342675392012417</c:v>
                </c:pt>
                <c:pt idx="1">
                  <c:v>9.540914285714285</c:v>
                </c:pt>
                <c:pt idx="2">
                  <c:v>7.3950748516254752</c:v>
                </c:pt>
                <c:pt idx="3">
                  <c:v>8.7508385744234793</c:v>
                </c:pt>
                <c:pt idx="4">
                  <c:v>10.985761659122014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48AA-492A-BDAC-1558DAB5B8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629584399"/>
        <c:axId val="767350911"/>
      </c:barChart>
      <c:catAx>
        <c:axId val="629584399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Название</a:t>
                </a:r>
                <a:r>
                  <a:rPr lang="ru-RU" baseline="0"/>
                  <a:t> алгоритма</a:t>
                </a:r>
                <a:endParaRPr lang="ru-RU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67350911"/>
        <c:crosses val="autoZero"/>
        <c:auto val="1"/>
        <c:lblAlgn val="ctr"/>
        <c:lblOffset val="100"/>
        <c:noMultiLvlLbl val="0"/>
      </c:catAx>
      <c:valAx>
        <c:axId val="7673509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ru-RU"/>
                  <a:t>Во сколько раз быстрее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</c:title>
        <c:numFmt formatCode="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6295843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'!bench'!$A$38</c:f>
              <c:strCache>
                <c:ptCount val="1"/>
                <c:pt idx="0">
                  <c:v>normal          </c:v>
                </c:pt>
              </c:strCache>
            </c:strRef>
          </c:tx>
          <c:spPr>
            <a:gradFill rotWithShape="1">
              <a:gsLst>
                <a:gs pos="0">
                  <a:schemeClr val="accent1">
                    <a:satMod val="103000"/>
                    <a:lumMod val="102000"/>
                    <a:tint val="94000"/>
                  </a:schemeClr>
                </a:gs>
                <a:gs pos="50000">
                  <a:schemeClr val="accent1">
                    <a:satMod val="110000"/>
                    <a:lumMod val="100000"/>
                    <a:shade val="100000"/>
                  </a:schemeClr>
                </a:gs>
                <a:gs pos="100000">
                  <a:schemeClr val="accent1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('!bench'!$B$38:$C$38,'!bench'!$E$38:$M$38)</c:f>
              <c:numCache>
                <c:formatCode>0.000000</c:formatCode>
                <c:ptCount val="11"/>
                <c:pt idx="0">
                  <c:v>3.5824000000000002E-2</c:v>
                </c:pt>
                <c:pt idx="1">
                  <c:v>0.19941938365341669</c:v>
                </c:pt>
                <c:pt idx="2" formatCode="0.0000">
                  <c:v>3.1E-2</c:v>
                </c:pt>
                <c:pt idx="3" formatCode="General">
                  <c:v>0.31159999999999999</c:v>
                </c:pt>
                <c:pt idx="4" formatCode="0.0000">
                  <c:v>3.1E-2</c:v>
                </c:pt>
                <c:pt idx="5" formatCode="0.0000">
                  <c:v>3.1E-2</c:v>
                </c:pt>
                <c:pt idx="6" formatCode="General">
                  <c:v>3.1399999999999997E-2</c:v>
                </c:pt>
                <c:pt idx="7" formatCode="0.0000">
                  <c:v>3.3000000000000002E-2</c:v>
                </c:pt>
                <c:pt idx="8" formatCode="General">
                  <c:v>5.9199999999999996E-2</c:v>
                </c:pt>
                <c:pt idx="9" formatCode="General">
                  <c:v>0.1336</c:v>
                </c:pt>
                <c:pt idx="10" formatCode="General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F68-B741-D6CD7604C024}"/>
            </c:ext>
          </c:extLst>
        </c:ser>
        <c:ser>
          <c:idx val="1"/>
          <c:order val="1"/>
          <c:tx>
            <c:strRef>
              <c:f>'!bench'!$A$39</c:f>
              <c:strCache>
                <c:ptCount val="1"/>
                <c:pt idx="0">
                  <c:v>iter            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atMod val="103000"/>
                    <a:lumMod val="102000"/>
                    <a:tint val="94000"/>
                  </a:schemeClr>
                </a:gs>
                <a:gs pos="50000">
                  <a:schemeClr val="accent2">
                    <a:satMod val="110000"/>
                    <a:lumMod val="100000"/>
                    <a:shade val="100000"/>
                  </a:schemeClr>
                </a:gs>
                <a:gs pos="100000">
                  <a:schemeClr val="accent2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('!bench'!$B$39:$C$39,'!bench'!$E$39:$M$39)</c:f>
              <c:numCache>
                <c:formatCode>0.000000</c:formatCode>
                <c:ptCount val="11"/>
                <c:pt idx="0" formatCode="General">
                  <c:v>3.4944000000000003E-2</c:v>
                </c:pt>
                <c:pt idx="1">
                  <c:v>0.20278159340659341</c:v>
                </c:pt>
                <c:pt idx="2" formatCode="0.0000">
                  <c:v>0.03</c:v>
                </c:pt>
                <c:pt idx="3" formatCode="0.0000">
                  <c:v>0.30900000000000005</c:v>
                </c:pt>
                <c:pt idx="4" formatCode="0.0000">
                  <c:v>0.03</c:v>
                </c:pt>
                <c:pt idx="5" formatCode="0.0000">
                  <c:v>0.03</c:v>
                </c:pt>
                <c:pt idx="6" formatCode="General">
                  <c:v>3.0800000000000001E-2</c:v>
                </c:pt>
                <c:pt idx="7" formatCode="0.0000">
                  <c:v>3.2000000000000001E-2</c:v>
                </c:pt>
                <c:pt idx="8" formatCode="General">
                  <c:v>5.8599999999999999E-2</c:v>
                </c:pt>
                <c:pt idx="9" formatCode="General">
                  <c:v>0.1196</c:v>
                </c:pt>
                <c:pt idx="10" formatCode="General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F68-B741-D6CD7604C024}"/>
            </c:ext>
          </c:extLst>
        </c:ser>
        <c:ser>
          <c:idx val="2"/>
          <c:order val="2"/>
          <c:tx>
            <c:strRef>
              <c:f>'!bench'!$A$40</c:f>
              <c:strCache>
                <c:ptCount val="1"/>
                <c:pt idx="0">
                  <c:v>sse v1          </c:v>
                </c:pt>
              </c:strCache>
            </c:strRef>
          </c:tx>
          <c:spPr>
            <a:gradFill rotWithShape="1">
              <a:gsLst>
                <a:gs pos="0">
                  <a:schemeClr val="accent3">
                    <a:satMod val="103000"/>
                    <a:lumMod val="102000"/>
                    <a:tint val="94000"/>
                  </a:schemeClr>
                </a:gs>
                <a:gs pos="50000">
                  <a:schemeClr val="accent3">
                    <a:satMod val="110000"/>
                    <a:lumMod val="100000"/>
                    <a:shade val="100000"/>
                  </a:schemeClr>
                </a:gs>
                <a:gs pos="100000">
                  <a:schemeClr val="accent3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('!bench'!$B$40:$C$40,'!bench'!$E$40:$M$40)</c:f>
              <c:numCache>
                <c:formatCode>0.000000</c:formatCode>
                <c:ptCount val="11"/>
                <c:pt idx="0" formatCode="General">
                  <c:v>5.1998000000000003E-2</c:v>
                </c:pt>
                <c:pt idx="1">
                  <c:v>0.25116350628870343</c:v>
                </c:pt>
                <c:pt idx="2" formatCode="0.0000">
                  <c:v>3.9E-2</c:v>
                </c:pt>
                <c:pt idx="3" formatCode="General">
                  <c:v>0.4234</c:v>
                </c:pt>
                <c:pt idx="4" formatCode="0.0000">
                  <c:v>3.9E-2</c:v>
                </c:pt>
                <c:pt idx="5" formatCode="General">
                  <c:v>3.9800000000000002E-2</c:v>
                </c:pt>
                <c:pt idx="6" formatCode="General">
                  <c:v>4.02E-2</c:v>
                </c:pt>
                <c:pt idx="7" formatCode="General">
                  <c:v>4.8399999999999999E-2</c:v>
                </c:pt>
                <c:pt idx="8" formatCode="General">
                  <c:v>9.3199999999999991E-2</c:v>
                </c:pt>
                <c:pt idx="9" formatCode="General">
                  <c:v>0.16819999999999996</c:v>
                </c:pt>
                <c:pt idx="10" formatCode="0.0000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F68-B741-D6CD7604C024}"/>
            </c:ext>
          </c:extLst>
        </c:ser>
        <c:ser>
          <c:idx val="3"/>
          <c:order val="3"/>
          <c:tx>
            <c:strRef>
              <c:f>'!bench'!$A$41</c:f>
              <c:strCache>
                <c:ptCount val="1"/>
                <c:pt idx="0">
                  <c:v>sse v2          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satMod val="103000"/>
                    <a:lumMod val="102000"/>
                    <a:tint val="94000"/>
                  </a:schemeClr>
                </a:gs>
                <a:gs pos="50000">
                  <a:schemeClr val="accent4">
                    <a:satMod val="110000"/>
                    <a:lumMod val="100000"/>
                    <a:shade val="100000"/>
                  </a:schemeClr>
                </a:gs>
                <a:gs pos="100000">
                  <a:schemeClr val="accent4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('!bench'!$B$41:$C$41,'!bench'!$E$41:$M$41)</c:f>
              <c:numCache>
                <c:formatCode>0.000000</c:formatCode>
                <c:ptCount val="11"/>
                <c:pt idx="0" formatCode="General">
                  <c:v>2.7708E-2</c:v>
                </c:pt>
                <c:pt idx="1">
                  <c:v>0.20932582647610798</c:v>
                </c:pt>
                <c:pt idx="2" formatCode="General">
                  <c:v>2.2399999999999996E-2</c:v>
                </c:pt>
                <c:pt idx="3" formatCode="0.0000">
                  <c:v>0.26799999999999996</c:v>
                </c:pt>
                <c:pt idx="4" formatCode="General">
                  <c:v>2.2799999999999997E-2</c:v>
                </c:pt>
                <c:pt idx="5" formatCode="0.0000">
                  <c:v>2.3E-2</c:v>
                </c:pt>
                <c:pt idx="6" formatCode="General">
                  <c:v>2.3199999999999998E-2</c:v>
                </c:pt>
                <c:pt idx="7" formatCode="0.0000">
                  <c:v>2.6000000000000002E-2</c:v>
                </c:pt>
                <c:pt idx="8" formatCode="General">
                  <c:v>4.8599999999999997E-2</c:v>
                </c:pt>
                <c:pt idx="9" formatCode="General">
                  <c:v>7.1800000000000003E-2</c:v>
                </c:pt>
                <c:pt idx="10" formatCode="0.0000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B97-4F68-B741-D6CD7604C024}"/>
            </c:ext>
          </c:extLst>
        </c:ser>
        <c:ser>
          <c:idx val="4"/>
          <c:order val="4"/>
          <c:tx>
            <c:strRef>
              <c:f>'!bench'!$A$42</c:f>
              <c:strCache>
                <c:ptCount val="1"/>
                <c:pt idx="0">
                  <c:v>avx h           </c:v>
                </c:pt>
              </c:strCache>
            </c:strRef>
          </c:tx>
          <c:spPr>
            <a:gradFill rotWithShape="1">
              <a:gsLst>
                <a:gs pos="0">
                  <a:schemeClr val="accent5">
                    <a:satMod val="103000"/>
                    <a:lumMod val="102000"/>
                    <a:tint val="94000"/>
                  </a:schemeClr>
                </a:gs>
                <a:gs pos="50000">
                  <a:schemeClr val="accent5">
                    <a:satMod val="110000"/>
                    <a:lumMod val="100000"/>
                    <a:shade val="100000"/>
                  </a:schemeClr>
                </a:gs>
                <a:gs pos="100000">
                  <a:schemeClr val="accent5">
                    <a:lumMod val="99000"/>
                    <a:satMod val="120000"/>
                    <a:shade val="78000"/>
                  </a:schemeClr>
                </a:gs>
              </a:gsLst>
              <a:lin ang="5400000" scaled="0"/>
            </a:gradFill>
            <a:ln>
              <a:noFill/>
            </a:ln>
            <a:effectLst>
              <a:outerShdw blurRad="57150" dist="19050" dir="5400000" algn="ctr" rotWithShape="0">
                <a:srgbClr val="000000">
                  <a:alpha val="63000"/>
                </a:srgbClr>
              </a:outerShdw>
            </a:effectLst>
          </c:spPr>
          <c:invertIfNegative val="0"/>
          <c:val>
            <c:numRef>
              <c:f>('!bench'!$B$42:$C$42,'!bench'!$E$42:$M$42)</c:f>
              <c:numCache>
                <c:formatCode>0.000000</c:formatCode>
                <c:ptCount val="11"/>
                <c:pt idx="0">
                  <c:v>1.9834000000000001E-2</c:v>
                </c:pt>
                <c:pt idx="1">
                  <c:v>0.24422708480387209</c:v>
                </c:pt>
                <c:pt idx="2" formatCode="General">
                  <c:v>1.66E-2</c:v>
                </c:pt>
                <c:pt idx="3" formatCode="General">
                  <c:v>0.30959999999999999</c:v>
                </c:pt>
                <c:pt idx="4" formatCode="General">
                  <c:v>1.6800000000000002E-2</c:v>
                </c:pt>
                <c:pt idx="5" formatCode="0.0000">
                  <c:v>1.7000000000000001E-2</c:v>
                </c:pt>
                <c:pt idx="6" formatCode="0.0000">
                  <c:v>1.7000000000000001E-2</c:v>
                </c:pt>
                <c:pt idx="7" formatCode="General">
                  <c:v>1.84E-2</c:v>
                </c:pt>
                <c:pt idx="8" formatCode="General">
                  <c:v>3.7200000000000004E-2</c:v>
                </c:pt>
                <c:pt idx="9" formatCode="General">
                  <c:v>5.9199999999999996E-2</c:v>
                </c:pt>
                <c:pt idx="10" formatCode="General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B97-4F68-B741-D6CD7604C0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15"/>
        <c:overlap val="-20"/>
        <c:axId val="1186506112"/>
        <c:axId val="1186507776"/>
      </c:barChart>
      <c:catAx>
        <c:axId val="1186506112"/>
        <c:scaling>
          <c:orientation val="minMax"/>
        </c:scaling>
        <c:delete val="0"/>
        <c:axPos val="l"/>
        <c:majorTickMark val="none"/>
        <c:minorTickMark val="none"/>
        <c:tickLblPos val="nextTo"/>
        <c:spPr>
          <a:noFill/>
          <a:ln w="12700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7776"/>
        <c:crosses val="autoZero"/>
        <c:auto val="1"/>
        <c:lblAlgn val="ctr"/>
        <c:lblOffset val="100"/>
        <c:noMultiLvlLbl val="0"/>
      </c:catAx>
      <c:valAx>
        <c:axId val="11865077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8650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Среднее время в миллисекундах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'!bench'!$B$38:$B$42</c:f>
              <c:numCache>
                <c:formatCode>General</c:formatCode>
                <c:ptCount val="5"/>
                <c:pt idx="0" formatCode="0.000000">
                  <c:v>3.5824000000000002E-2</c:v>
                </c:pt>
                <c:pt idx="1">
                  <c:v>3.4944000000000003E-2</c:v>
                </c:pt>
                <c:pt idx="2">
                  <c:v>5.1998000000000003E-2</c:v>
                </c:pt>
                <c:pt idx="3">
                  <c:v>2.7708E-2</c:v>
                </c:pt>
                <c:pt idx="4" formatCode="0.000000">
                  <c:v>1.9834000000000001E-2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D91-42CF-AB1B-4CD69CFD74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517177184"/>
        <c:axId val="517178432"/>
      </c:barChart>
      <c:catAx>
        <c:axId val="517177184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8432"/>
        <c:crosses val="autoZero"/>
        <c:auto val="1"/>
        <c:lblAlgn val="ctr"/>
        <c:lblOffset val="100"/>
        <c:noMultiLvlLbl val="0"/>
      </c:catAx>
      <c:valAx>
        <c:axId val="517178432"/>
        <c:scaling>
          <c:orientation val="minMax"/>
          <c:max val="5.3000000000000012E-2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51717718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Коэффициент вариации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'!bench'!$C$38:$C$42</c:f>
              <c:numCache>
                <c:formatCode>0.000000</c:formatCode>
                <c:ptCount val="5"/>
                <c:pt idx="0">
                  <c:v>0.19941938365341669</c:v>
                </c:pt>
                <c:pt idx="1">
                  <c:v>0.20278159340659341</c:v>
                </c:pt>
                <c:pt idx="2">
                  <c:v>0.25116350628870343</c:v>
                </c:pt>
                <c:pt idx="3">
                  <c:v>0.20932582647610798</c:v>
                </c:pt>
                <c:pt idx="4">
                  <c:v>0.24422708480387209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C1-47F5-B7A9-A9EBB628C7D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19871376"/>
        <c:axId val="1119873456"/>
      </c:barChart>
      <c:catAx>
        <c:axId val="1119871376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3456"/>
        <c:crosses val="autoZero"/>
        <c:auto val="1"/>
        <c:lblAlgn val="ctr"/>
        <c:lblOffset val="100"/>
        <c:noMultiLvlLbl val="0"/>
      </c:catAx>
      <c:valAx>
        <c:axId val="1119873456"/>
        <c:scaling>
          <c:orientation val="minMax"/>
          <c:max val="0.2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198713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Максимальное</a:t>
            </a:r>
            <a:r>
              <a:rPr lang="ru-RU" baseline="0"/>
              <a:t> и минимальное время</a:t>
            </a:r>
            <a:endParaRPr lang="ru-RU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'!bench'!$D$1</c:f>
              <c:strCache>
                <c:ptCount val="1"/>
                <c:pt idx="0">
                  <c:v>Мин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'!bench'!$D$38:$D$42</c:f>
              <c:numCache>
                <c:formatCode>General</c:formatCode>
                <c:ptCount val="5"/>
                <c:pt idx="0">
                  <c:v>7.1440000000000002E-3</c:v>
                </c:pt>
                <c:pt idx="1">
                  <c:v>7.0860000000000003E-3</c:v>
                </c:pt>
                <c:pt idx="2">
                  <c:v>1.3060000000000002E-2</c:v>
                </c:pt>
                <c:pt idx="3">
                  <c:v>5.7999999999999996E-3</c:v>
                </c:pt>
                <c:pt idx="4">
                  <c:v>4.8439999999999993E-3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B53-4BF4-9E3E-7EFE9AFE3FA2}"/>
            </c:ext>
          </c:extLst>
        </c:ser>
        <c:ser>
          <c:idx val="1"/>
          <c:order val="1"/>
          <c:tx>
            <c:strRef>
              <c:f>'!bench'!$E$1</c:f>
              <c:strCache>
                <c:ptCount val="1"/>
                <c:pt idx="0">
                  <c:v>Макс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'!bench'!$A$38:$A$42</c:f>
              <c:strCache>
                <c:ptCount val="5"/>
                <c:pt idx="0">
                  <c:v>normal          </c:v>
                </c:pt>
                <c:pt idx="1">
                  <c:v>iter            </c:v>
                </c:pt>
                <c:pt idx="2">
                  <c:v>sse v1          </c:v>
                </c:pt>
                <c:pt idx="3">
                  <c:v>sse v2          </c:v>
                </c:pt>
                <c:pt idx="4">
                  <c:v>avx h           </c:v>
                </c:pt>
              </c:strCache>
            </c:strRef>
          </c:cat>
          <c:val>
            <c:numRef>
              <c:f>'!bench'!$E$38:$E$42</c:f>
              <c:numCache>
                <c:formatCode>0.0000</c:formatCode>
                <c:ptCount val="5"/>
                <c:pt idx="0">
                  <c:v>3.1E-2</c:v>
                </c:pt>
                <c:pt idx="1">
                  <c:v>0.03</c:v>
                </c:pt>
                <c:pt idx="2">
                  <c:v>3.9E-2</c:v>
                </c:pt>
                <c:pt idx="3" formatCode="General">
                  <c:v>2.2399999999999996E-2</c:v>
                </c:pt>
                <c:pt idx="4" formatCode="General">
                  <c:v>1.66E-2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B53-4BF4-9E3E-7EFE9AFE3FA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82"/>
        <c:axId val="1124348448"/>
        <c:axId val="1124345536"/>
      </c:barChart>
      <c:catAx>
        <c:axId val="112434844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5536"/>
        <c:crosses val="autoZero"/>
        <c:auto val="1"/>
        <c:lblAlgn val="ctr"/>
        <c:lblOffset val="100"/>
        <c:noMultiLvlLbl val="0"/>
      </c:catAx>
      <c:valAx>
        <c:axId val="1124345536"/>
        <c:scaling>
          <c:orientation val="minMax"/>
          <c:max val="4.0000000000000008E-2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11243484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'!bench'!$F$32:$I$32</c:f>
              <c:numCache>
                <c:formatCode>General</c:formatCode>
                <c:ptCount val="4"/>
                <c:pt idx="0">
                  <c:v>3.1E-2</c:v>
                </c:pt>
                <c:pt idx="1">
                  <c:v>3.1E-2</c:v>
                </c:pt>
                <c:pt idx="2">
                  <c:v>3.1399999999999997E-2</c:v>
                </c:pt>
                <c:pt idx="3">
                  <c:v>3.3000000000000002E-2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529-49BE-B343-A149327BB8F7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'!bench'!$F$33:$I$33</c:f>
              <c:numCache>
                <c:formatCode>General</c:formatCode>
                <c:ptCount val="4"/>
                <c:pt idx="0">
                  <c:v>0.03</c:v>
                </c:pt>
                <c:pt idx="1">
                  <c:v>0.03</c:v>
                </c:pt>
                <c:pt idx="2">
                  <c:v>3.0800000000000001E-2</c:v>
                </c:pt>
                <c:pt idx="3">
                  <c:v>3.2000000000000001E-2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529-49BE-B343-A149327BB8F7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'!bench'!$F$34:$I$34</c:f>
              <c:numCache>
                <c:formatCode>General</c:formatCode>
                <c:ptCount val="4"/>
                <c:pt idx="0">
                  <c:v>3.9E-2</c:v>
                </c:pt>
                <c:pt idx="1">
                  <c:v>3.9800000000000002E-2</c:v>
                </c:pt>
                <c:pt idx="2">
                  <c:v>4.02E-2</c:v>
                </c:pt>
                <c:pt idx="3">
                  <c:v>4.8399999999999999E-2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529-49BE-B343-A149327BB8F7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'!bench'!$F$35:$I$35</c:f>
              <c:numCache>
                <c:formatCode>General</c:formatCode>
                <c:ptCount val="4"/>
                <c:pt idx="0">
                  <c:v>2.2799999999999997E-2</c:v>
                </c:pt>
                <c:pt idx="1">
                  <c:v>2.3E-2</c:v>
                </c:pt>
                <c:pt idx="2">
                  <c:v>2.3199999999999998E-2</c:v>
                </c:pt>
                <c:pt idx="3">
                  <c:v>2.6000000000000002E-2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529-49BE-B343-A149327BB8F7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'!bench'!$F$1:$I$1</c:f>
              <c:strCache>
                <c:ptCount val="4"/>
                <c:pt idx="0">
                  <c:v>0.001%</c:v>
                </c:pt>
                <c:pt idx="1">
                  <c:v>0.1%</c:v>
                </c:pt>
                <c:pt idx="2">
                  <c:v>1%</c:v>
                </c:pt>
                <c:pt idx="3">
                  <c:v>50%</c:v>
                </c:pt>
              </c:strCache>
            </c:strRef>
          </c:cat>
          <c:val>
            <c:numRef>
              <c:f>'!bench'!$F$36:$I$36</c:f>
              <c:numCache>
                <c:formatCode>General</c:formatCode>
                <c:ptCount val="4"/>
                <c:pt idx="0">
                  <c:v>1.6800000000000002E-2</c:v>
                </c:pt>
                <c:pt idx="1">
                  <c:v>1.7000000000000001E-2</c:v>
                </c:pt>
                <c:pt idx="2">
                  <c:v>1.7000000000000001E-2</c:v>
                </c:pt>
                <c:pt idx="3">
                  <c:v>1.84E-2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529-49BE-B343-A149327BB8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5.000000000000001E-2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ru-RU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Временное распределение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'!bench'!$A$32</c:f>
              <c:strCache>
                <c:ptCount val="1"/>
                <c:pt idx="0">
                  <c:v>normal          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'!bench'!$J$32:$L$32</c:f>
              <c:numCache>
                <c:formatCode>General</c:formatCode>
                <c:ptCount val="3"/>
                <c:pt idx="0">
                  <c:v>5.9199999999999996E-2</c:v>
                </c:pt>
                <c:pt idx="1">
                  <c:v>0.1336</c:v>
                </c:pt>
                <c:pt idx="2">
                  <c:v>0.28339999999999999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5A-4C0D-8899-477BDE1DDC44}"/>
            </c:ext>
          </c:extLst>
        </c:ser>
        <c:ser>
          <c:idx val="1"/>
          <c:order val="1"/>
          <c:tx>
            <c:strRef>
              <c:f>'!bench'!$A$33</c:f>
              <c:strCache>
                <c:ptCount val="1"/>
                <c:pt idx="0">
                  <c:v>iter           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'!bench'!$J$33:$L$33</c:f>
              <c:numCache>
                <c:formatCode>General</c:formatCode>
                <c:ptCount val="3"/>
                <c:pt idx="0">
                  <c:v>5.8599999999999999E-2</c:v>
                </c:pt>
                <c:pt idx="1">
                  <c:v>0.1196</c:v>
                </c:pt>
                <c:pt idx="2">
                  <c:v>0.25340000000000001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C35A-4C0D-8899-477BDE1DDC44}"/>
            </c:ext>
          </c:extLst>
        </c:ser>
        <c:ser>
          <c:idx val="2"/>
          <c:order val="2"/>
          <c:tx>
            <c:strRef>
              <c:f>'!bench'!$A$34</c:f>
              <c:strCache>
                <c:ptCount val="1"/>
                <c:pt idx="0">
                  <c:v>sse v1          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'!bench'!$J$34:$L$34</c:f>
              <c:numCache>
                <c:formatCode>General</c:formatCode>
                <c:ptCount val="3"/>
                <c:pt idx="0">
                  <c:v>9.3199999999999991E-2</c:v>
                </c:pt>
                <c:pt idx="1">
                  <c:v>0.16819999999999996</c:v>
                </c:pt>
                <c:pt idx="2">
                  <c:v>0.31500000000000006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35A-4C0D-8899-477BDE1DDC44}"/>
            </c:ext>
          </c:extLst>
        </c:ser>
        <c:ser>
          <c:idx val="3"/>
          <c:order val="3"/>
          <c:tx>
            <c:strRef>
              <c:f>'!bench'!$A$35</c:f>
              <c:strCache>
                <c:ptCount val="1"/>
                <c:pt idx="0">
                  <c:v>sse v2          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'!bench'!$J$35:$L$35</c:f>
              <c:numCache>
                <c:formatCode>General</c:formatCode>
                <c:ptCount val="3"/>
                <c:pt idx="0">
                  <c:v>4.8599999999999997E-2</c:v>
                </c:pt>
                <c:pt idx="1">
                  <c:v>7.1800000000000003E-2</c:v>
                </c:pt>
                <c:pt idx="2">
                  <c:v>0.19600000000000001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C35A-4C0D-8899-477BDE1DDC44}"/>
            </c:ext>
          </c:extLst>
        </c:ser>
        <c:ser>
          <c:idx val="4"/>
          <c:order val="4"/>
          <c:tx>
            <c:strRef>
              <c:f>'!bench'!$A$36</c:f>
              <c:strCache>
                <c:ptCount val="1"/>
                <c:pt idx="0">
                  <c:v>avx h           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strRef>
              <c:f>'!bench'!$J$1:$L$1</c:f>
              <c:strCache>
                <c:ptCount val="3"/>
                <c:pt idx="0">
                  <c:v>99%</c:v>
                </c:pt>
                <c:pt idx="1">
                  <c:v>99.9%</c:v>
                </c:pt>
                <c:pt idx="2">
                  <c:v>99.999%</c:v>
                </c:pt>
              </c:strCache>
            </c:strRef>
          </c:cat>
          <c:val>
            <c:numRef>
              <c:f>'!bench'!$J$36:$L$36</c:f>
              <c:numCache>
                <c:formatCode>General</c:formatCode>
                <c:ptCount val="3"/>
                <c:pt idx="0">
                  <c:v>3.7200000000000004E-2</c:v>
                </c:pt>
                <c:pt idx="1">
                  <c:v>5.9199999999999996E-2</c:v>
                </c:pt>
                <c:pt idx="2">
                  <c:v>0.20379999999999998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C35A-4C0D-8899-477BDE1DDC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456592800"/>
        <c:axId val="456593216"/>
      </c:barChart>
      <c:catAx>
        <c:axId val="456592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3216"/>
        <c:crosses val="autoZero"/>
        <c:auto val="1"/>
        <c:lblAlgn val="ctr"/>
        <c:lblOffset val="100"/>
        <c:noMultiLvlLbl val="0"/>
      </c:catAx>
      <c:valAx>
        <c:axId val="456593216"/>
        <c:scaling>
          <c:orientation val="minMax"/>
          <c:max val="0.32000000000000006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4565928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1">
  <a:schemeClr val="accent1"/>
  <a:schemeClr val="accent3"/>
  <a:schemeClr val="accent5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20">
  <a:schemeClr val="dk1"/>
  <cs:variation>
    <a:tint val="88500"/>
  </cs:variation>
  <cs:variation>
    <a:tint val="55000"/>
  </cs:variation>
  <cs:variation>
    <a:tint val="75000"/>
  </cs:variation>
  <cs:variation>
    <a:tint val="98500"/>
  </cs:variation>
  <cs:variation>
    <a:tint val="30000"/>
  </cs:variation>
  <cs:variation>
    <a:tint val="60000"/>
  </cs:variation>
  <cs:variation>
    <a:tint val="8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34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ize="5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6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8" Type="http://schemas.openxmlformats.org/officeDocument/2006/relationships/chart" Target="../charts/chart14.xml"/><Relationship Id="rId3" Type="http://schemas.openxmlformats.org/officeDocument/2006/relationships/chart" Target="../charts/chart9.xml"/><Relationship Id="rId7" Type="http://schemas.openxmlformats.org/officeDocument/2006/relationships/chart" Target="../charts/chart13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6" Type="http://schemas.openxmlformats.org/officeDocument/2006/relationships/chart" Target="../charts/chart12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7.xml"/><Relationship Id="rId2" Type="http://schemas.openxmlformats.org/officeDocument/2006/relationships/chart" Target="../charts/chart16.xml"/><Relationship Id="rId1" Type="http://schemas.openxmlformats.org/officeDocument/2006/relationships/chart" Target="../charts/chart15.xml"/><Relationship Id="rId6" Type="http://schemas.openxmlformats.org/officeDocument/2006/relationships/chart" Target="../charts/chart20.xml"/><Relationship Id="rId5" Type="http://schemas.openxmlformats.org/officeDocument/2006/relationships/chart" Target="../charts/chart19.xml"/><Relationship Id="rId4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13</xdr:row>
      <xdr:rowOff>80962</xdr:rowOff>
    </xdr:from>
    <xdr:to>
      <xdr:col>6</xdr:col>
      <xdr:colOff>85725</xdr:colOff>
      <xdr:row>27</xdr:row>
      <xdr:rowOff>157162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1E73B74C-5340-473D-B4D3-84BE99F877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71437</xdr:colOff>
      <xdr:row>1</xdr:row>
      <xdr:rowOff>42862</xdr:rowOff>
    </xdr:from>
    <xdr:to>
      <xdr:col>11</xdr:col>
      <xdr:colOff>795337</xdr:colOff>
      <xdr:row>15</xdr:row>
      <xdr:rowOff>119062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A182E88B-87D9-4469-B610-EEE7E78E163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1</xdr:row>
      <xdr:rowOff>14287</xdr:rowOff>
    </xdr:from>
    <xdr:to>
      <xdr:col>19</xdr:col>
      <xdr:colOff>347662</xdr:colOff>
      <xdr:row>15</xdr:row>
      <xdr:rowOff>90487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98CCB08D-D6F3-4AB5-BF4F-E8142F5407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147637</xdr:colOff>
      <xdr:row>15</xdr:row>
      <xdr:rowOff>128587</xdr:rowOff>
    </xdr:from>
    <xdr:to>
      <xdr:col>12</xdr:col>
      <xdr:colOff>61912</xdr:colOff>
      <xdr:row>30</xdr:row>
      <xdr:rowOff>14287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8A3995BC-C240-4219-8DFC-D4459BB7564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12</xdr:col>
      <xdr:colOff>52387</xdr:colOff>
      <xdr:row>15</xdr:row>
      <xdr:rowOff>128587</xdr:rowOff>
    </xdr:from>
    <xdr:to>
      <xdr:col>19</xdr:col>
      <xdr:colOff>357187</xdr:colOff>
      <xdr:row>30</xdr:row>
      <xdr:rowOff>14287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5A2741BB-9B94-4026-B820-603F3400C74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523875</xdr:colOff>
      <xdr:row>0</xdr:row>
      <xdr:rowOff>152400</xdr:rowOff>
    </xdr:from>
    <xdr:to>
      <xdr:col>27</xdr:col>
      <xdr:colOff>219075</xdr:colOff>
      <xdr:row>15</xdr:row>
      <xdr:rowOff>38100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8AE8FD5-90D2-4A48-A10A-F3078B465D3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100012</xdr:colOff>
      <xdr:row>0</xdr:row>
      <xdr:rowOff>52387</xdr:rowOff>
    </xdr:from>
    <xdr:to>
      <xdr:col>19</xdr:col>
      <xdr:colOff>404812</xdr:colOff>
      <xdr:row>14</xdr:row>
      <xdr:rowOff>128587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30DF495F-7579-48D0-B765-303E4A4C464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128587</xdr:colOff>
      <xdr:row>15</xdr:row>
      <xdr:rowOff>52387</xdr:rowOff>
    </xdr:from>
    <xdr:to>
      <xdr:col>19</xdr:col>
      <xdr:colOff>433387</xdr:colOff>
      <xdr:row>29</xdr:row>
      <xdr:rowOff>128587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AD8689CD-AA23-43AF-9426-5CBB60BFB8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42862</xdr:colOff>
      <xdr:row>29</xdr:row>
      <xdr:rowOff>166686</xdr:rowOff>
    </xdr:from>
    <xdr:to>
      <xdr:col>22</xdr:col>
      <xdr:colOff>266700</xdr:colOff>
      <xdr:row>53</xdr:row>
      <xdr:rowOff>66675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4F051D-B56A-413D-8DE8-BF3E4B78212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3</xdr:col>
      <xdr:colOff>704850</xdr:colOff>
      <xdr:row>50</xdr:row>
      <xdr:rowOff>33336</xdr:rowOff>
    </xdr:from>
    <xdr:to>
      <xdr:col>12</xdr:col>
      <xdr:colOff>4762</xdr:colOff>
      <xdr:row>65</xdr:row>
      <xdr:rowOff>114299</xdr:rowOff>
    </xdr:to>
    <xdr:graphicFrame macro="">
      <xdr:nvGraphicFramePr>
        <xdr:cNvPr id="6" name="Диаграмма 5">
          <a:extLst>
            <a:ext uri="{FF2B5EF4-FFF2-40B4-BE49-F238E27FC236}">
              <a16:creationId xmlns:a16="http://schemas.microsoft.com/office/drawing/2014/main" id="{20087F3A-E375-4B70-BEE2-0804FE1D4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65</xdr:row>
      <xdr:rowOff>42862</xdr:rowOff>
    </xdr:from>
    <xdr:to>
      <xdr:col>6</xdr:col>
      <xdr:colOff>85725</xdr:colOff>
      <xdr:row>79</xdr:row>
      <xdr:rowOff>119062</xdr:rowOff>
    </xdr:to>
    <xdr:graphicFrame macro="">
      <xdr:nvGraphicFramePr>
        <xdr:cNvPr id="7" name="Диаграмма 6">
          <a:extLst>
            <a:ext uri="{FF2B5EF4-FFF2-40B4-BE49-F238E27FC236}">
              <a16:creationId xmlns:a16="http://schemas.microsoft.com/office/drawing/2014/main" id="{342DD5B0-354D-467F-8BB0-5155375A66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6</xdr:col>
      <xdr:colOff>70036</xdr:colOff>
      <xdr:row>65</xdr:row>
      <xdr:rowOff>50985</xdr:rowOff>
    </xdr:from>
    <xdr:to>
      <xdr:col>12</xdr:col>
      <xdr:colOff>433106</xdr:colOff>
      <xdr:row>81</xdr:row>
      <xdr:rowOff>5042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AE3AFC51-83E5-48E3-93DA-05396D21C1E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12</xdr:col>
      <xdr:colOff>476250</xdr:colOff>
      <xdr:row>65</xdr:row>
      <xdr:rowOff>28575</xdr:rowOff>
    </xdr:from>
    <xdr:to>
      <xdr:col>21</xdr:col>
      <xdr:colOff>10645</xdr:colOff>
      <xdr:row>80</xdr:row>
      <xdr:rowOff>173132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5C2D985C-CA89-47C1-B50C-3F835B65F1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3</xdr:col>
      <xdr:colOff>402742</xdr:colOff>
      <xdr:row>80</xdr:row>
      <xdr:rowOff>185291</xdr:rowOff>
    </xdr:from>
    <xdr:to>
      <xdr:col>11</xdr:col>
      <xdr:colOff>381000</xdr:colOff>
      <xdr:row>99</xdr:row>
      <xdr:rowOff>168519</xdr:rowOff>
    </xdr:to>
    <xdr:graphicFrame macro="">
      <xdr:nvGraphicFramePr>
        <xdr:cNvPr id="11" name="Диаграмма 10">
          <a:extLst>
            <a:ext uri="{FF2B5EF4-FFF2-40B4-BE49-F238E27FC236}">
              <a16:creationId xmlns:a16="http://schemas.microsoft.com/office/drawing/2014/main" id="{42A6FD62-FE22-47D5-8703-CE8107FC2F8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19050</xdr:colOff>
      <xdr:row>43</xdr:row>
      <xdr:rowOff>4762</xdr:rowOff>
    </xdr:from>
    <xdr:to>
      <xdr:col>11</xdr:col>
      <xdr:colOff>9525</xdr:colOff>
      <xdr:row>69</xdr:row>
      <xdr:rowOff>57150</xdr:rowOff>
    </xdr:to>
    <xdr:graphicFrame macro="">
      <xdr:nvGraphicFramePr>
        <xdr:cNvPr id="2" name="Диаграмма 1">
          <a:extLst>
            <a:ext uri="{FF2B5EF4-FFF2-40B4-BE49-F238E27FC236}">
              <a16:creationId xmlns:a16="http://schemas.microsoft.com/office/drawing/2014/main" id="{453E9610-5CBE-427B-B1A0-33186F4DB5B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16</xdr:col>
      <xdr:colOff>585787</xdr:colOff>
      <xdr:row>44</xdr:row>
      <xdr:rowOff>14287</xdr:rowOff>
    </xdr:from>
    <xdr:to>
      <xdr:col>24</xdr:col>
      <xdr:colOff>280987</xdr:colOff>
      <xdr:row>58</xdr:row>
      <xdr:rowOff>90487</xdr:rowOff>
    </xdr:to>
    <xdr:graphicFrame macro="">
      <xdr:nvGraphicFramePr>
        <xdr:cNvPr id="3" name="Диаграмма 2">
          <a:extLst>
            <a:ext uri="{FF2B5EF4-FFF2-40B4-BE49-F238E27FC236}">
              <a16:creationId xmlns:a16="http://schemas.microsoft.com/office/drawing/2014/main" id="{46E96EF1-D59E-4AB0-965B-42A6E02FE1F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804862</xdr:colOff>
      <xdr:row>57</xdr:row>
      <xdr:rowOff>176212</xdr:rowOff>
    </xdr:from>
    <xdr:to>
      <xdr:col>19</xdr:col>
      <xdr:colOff>300037</xdr:colOff>
      <xdr:row>72</xdr:row>
      <xdr:rowOff>61912</xdr:rowOff>
    </xdr:to>
    <xdr:graphicFrame macro="">
      <xdr:nvGraphicFramePr>
        <xdr:cNvPr id="4" name="Диаграмма 3">
          <a:extLst>
            <a:ext uri="{FF2B5EF4-FFF2-40B4-BE49-F238E27FC236}">
              <a16:creationId xmlns:a16="http://schemas.microsoft.com/office/drawing/2014/main" id="{4D2020F7-0C28-4BFB-AB95-C25EF6359B5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17</xdr:col>
      <xdr:colOff>14287</xdr:colOff>
      <xdr:row>29</xdr:row>
      <xdr:rowOff>14287</xdr:rowOff>
    </xdr:from>
    <xdr:to>
      <xdr:col>24</xdr:col>
      <xdr:colOff>319087</xdr:colOff>
      <xdr:row>43</xdr:row>
      <xdr:rowOff>90487</xdr:rowOff>
    </xdr:to>
    <xdr:graphicFrame macro="">
      <xdr:nvGraphicFramePr>
        <xdr:cNvPr id="5" name="Диаграмма 4">
          <a:extLst>
            <a:ext uri="{FF2B5EF4-FFF2-40B4-BE49-F238E27FC236}">
              <a16:creationId xmlns:a16="http://schemas.microsoft.com/office/drawing/2014/main" id="{632652EA-DA7D-4334-B1F4-DAA3365FFF7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4762</xdr:colOff>
      <xdr:row>0</xdr:row>
      <xdr:rowOff>23812</xdr:rowOff>
    </xdr:from>
    <xdr:to>
      <xdr:col>24</xdr:col>
      <xdr:colOff>309562</xdr:colOff>
      <xdr:row>14</xdr:row>
      <xdr:rowOff>100012</xdr:rowOff>
    </xdr:to>
    <xdr:graphicFrame macro="">
      <xdr:nvGraphicFramePr>
        <xdr:cNvPr id="8" name="Диаграмма 7">
          <a:extLst>
            <a:ext uri="{FF2B5EF4-FFF2-40B4-BE49-F238E27FC236}">
              <a16:creationId xmlns:a16="http://schemas.microsoft.com/office/drawing/2014/main" id="{0C31EB85-FD1A-482F-A95E-D2E777E9A38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17</xdr:col>
      <xdr:colOff>28575</xdr:colOff>
      <xdr:row>14</xdr:row>
      <xdr:rowOff>85725</xdr:rowOff>
    </xdr:from>
    <xdr:to>
      <xdr:col>24</xdr:col>
      <xdr:colOff>333375</xdr:colOff>
      <xdr:row>28</xdr:row>
      <xdr:rowOff>161925</xdr:rowOff>
    </xdr:to>
    <xdr:graphicFrame macro="">
      <xdr:nvGraphicFramePr>
        <xdr:cNvPr id="9" name="Диаграмма 8">
          <a:extLst>
            <a:ext uri="{FF2B5EF4-FFF2-40B4-BE49-F238E27FC236}">
              <a16:creationId xmlns:a16="http://schemas.microsoft.com/office/drawing/2014/main" id="{FD5F1C5F-DC20-4902-A94B-B562A5E662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0AF60021-A16C-4F5D-AB42-ADD973576157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3" connectionId="3" xr16:uid="{E92F27C8-86DB-47F5-B86A-00E19C231523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FE2E3DCE-7921-4BD8-A857-0D7B41B67182}" autoFormatId="16" applyNumberFormats="0" applyBorderFormats="0" applyFontFormats="0" applyPatternFormats="0" applyAlignmentFormats="0" applyWidthHeightFormats="0">
  <queryTableRefresh nextId="13">
    <queryTableFields count="12">
      <queryTableField id="1" name="Column1" tableColumnId="1"/>
      <queryTableField id="2" name="Column2" tableColumnId="2"/>
      <queryTableField id="3" name="Column3" tableColumnId="3"/>
      <queryTableField id="4" name="Column4" tableColumnId="4"/>
      <queryTableField id="5" name="Column5" tableColumnId="5"/>
      <queryTableField id="6" name="Column6" tableColumnId="6"/>
      <queryTableField id="7" name="Column7" tableColumnId="7"/>
      <queryTableField id="8" name="Column8" tableColumnId="8"/>
      <queryTableField id="9" name="Column9" tableColumnId="9"/>
      <queryTableField id="10" name="Column10" tableColumnId="10"/>
      <queryTableField id="11" name="Column11" tableColumnId="11"/>
      <queryTableField id="12" name="Column12" tableColumnId="12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541F17D-05C2-4A76-8324-93867D083F32}" name="bench__4" displayName="bench__4" ref="A1:L35" tableType="queryTable" totalsRowShown="0">
  <autoFilter ref="A1:L35" xr:uid="{0541F17D-05C2-4A76-8324-93867D083F32}"/>
  <tableColumns count="12">
    <tableColumn id="1" xr3:uid="{61943C34-6EFB-4BCA-888A-89C0A3AD588E}" uniqueName="1" name="name" queryTableFieldId="1" dataDxfId="36"/>
    <tableColumn id="2" xr3:uid="{F325066E-BC6A-4EB6-9D94-50CFA9455FE6}" uniqueName="2" name="Среднее" queryTableFieldId="2" dataDxfId="35"/>
    <tableColumn id="3" xr3:uid="{EE0C8C77-9C3B-415E-8F36-E1AB9CDF02E4}" uniqueName="3" name="Среднее отклонение" queryTableFieldId="3" dataDxfId="34"/>
    <tableColumn id="4" xr3:uid="{C3ECA0BB-F633-41BF-A9F0-8BEF86AC205A}" uniqueName="4" name="Мин" queryTableFieldId="4" dataDxfId="33"/>
    <tableColumn id="5" xr3:uid="{33B62EAD-2CD7-44E7-837A-C3D3BFF573E9}" uniqueName="5" name="Макс" queryTableFieldId="5" dataDxfId="32"/>
    <tableColumn id="6" xr3:uid="{04F3ED80-18CC-4E43-BB78-3B1A07CBCFF7}" uniqueName="6" name="0.01%" queryTableFieldId="6" dataDxfId="31"/>
    <tableColumn id="7" xr3:uid="{64CB85BC-D387-4E7A-9D0A-D78E1A0F7B33}" uniqueName="7" name="0.1%" queryTableFieldId="7" dataDxfId="30"/>
    <tableColumn id="8" xr3:uid="{B98AE064-4378-4EFB-98C9-5632601C983D}" uniqueName="8" name="1%" queryTableFieldId="8" dataDxfId="29"/>
    <tableColumn id="9" xr3:uid="{FCE1E06F-8041-4356-AAF5-30FA8C208829}" uniqueName="9" name="50%" queryTableFieldId="9" dataDxfId="28"/>
    <tableColumn id="10" xr3:uid="{E6C4EC49-BE92-450C-96C2-810F2F5D6E46}" uniqueName="10" name="99%" queryTableFieldId="10" dataDxfId="27"/>
    <tableColumn id="11" xr3:uid="{DE25D263-BBAB-4FFA-B0BB-9948CC65838D}" uniqueName="11" name="99.9%" queryTableFieldId="11" dataDxfId="26"/>
    <tableColumn id="12" xr3:uid="{6AADA61C-6759-4DB2-B9EA-FE21119E467C}" uniqueName="12" name="99.99%" queryTableFieldId="12" dataDxfId="2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A6A69C6-70E6-456B-BD2E-93F78213020D}" name="bench__3" displayName="bench__3" ref="A1:L35" tableType="queryTable" totalsRowShown="0" headerRowDxfId="24">
  <autoFilter ref="A1:L35" xr:uid="{EA6A69C6-70E6-456B-BD2E-93F78213020D}"/>
  <tableColumns count="12">
    <tableColumn id="1" xr3:uid="{528A0E9A-8905-4694-95A7-AEFE9DE57EE9}" uniqueName="1" name="Algorithm       " queryTableFieldId="1" dataDxfId="23"/>
    <tableColumn id="2" xr3:uid="{687BCE85-0B3B-433E-8E41-D1E342DB6523}" uniqueName="2" name="        Avg " queryTableFieldId="2" dataDxfId="22"/>
    <tableColumn id="3" xr3:uid="{0C5CFAC3-9D81-4CDD-A138-6D24C07DD630}" uniqueName="3" name="     StdDev " queryTableFieldId="3" dataDxfId="21"/>
    <tableColumn id="4" xr3:uid="{C9D40B0F-8566-454C-A509-537A31E456B7}" uniqueName="4" name="        Min " queryTableFieldId="4" dataDxfId="20"/>
    <tableColumn id="5" xr3:uid="{7DB63788-72EA-461A-98B6-1FFBD64C63C7}" uniqueName="5" name="        Max " queryTableFieldId="5" dataDxfId="19"/>
    <tableColumn id="6" xr3:uid="{CAF6E545-2E9E-4353-AE1A-D8AB5EDD3625}" uniqueName="6" name="    p0.001% " queryTableFieldId="6" dataDxfId="18"/>
    <tableColumn id="7" xr3:uid="{51E7AF4C-0812-43DD-A18A-622C39FF1FB3}" uniqueName="7" name="      p0.1% " queryTableFieldId="7" dataDxfId="17"/>
    <tableColumn id="8" xr3:uid="{3FF1168A-1EA2-442C-8D1F-70E4555E1A6B}" uniqueName="8" name="        p1% " queryTableFieldId="8" dataDxfId="16"/>
    <tableColumn id="9" xr3:uid="{E615164D-51EA-4B5A-B548-CB0C256DFEAF}" uniqueName="9" name="       p50% " queryTableFieldId="9" dataDxfId="15"/>
    <tableColumn id="10" xr3:uid="{B12093D0-E25F-44AC-A483-6494F9104F4D}" uniqueName="10" name="       p99% " queryTableFieldId="10" dataDxfId="14"/>
    <tableColumn id="11" xr3:uid="{FDD51BAD-4E1A-4102-A5F1-FB5AC62B0BF4}" uniqueName="11" name="     p99.9% " queryTableFieldId="11" dataDxfId="13"/>
    <tableColumn id="12" xr3:uid="{8FE203E8-E5F2-4D66-A9C5-22EB0CA02117}" uniqueName="12" name="   p99.999%" queryTableFieldId="12" dataDxfId="1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45CAE21-E4D9-49DE-BBCE-C12DFA3FDDCA}" name="bench" displayName="bench" ref="A1:L30" tableType="queryTable" totalsRowShown="0">
  <autoFilter ref="A1:L30" xr:uid="{045CAE21-E4D9-49DE-BBCE-C12DFA3FDDCA}"/>
  <tableColumns count="12">
    <tableColumn id="1" xr3:uid="{0F36093B-02CC-462A-A40D-08DF9B226316}" uniqueName="1" name="Название" queryTableFieldId="1" dataDxfId="11"/>
    <tableColumn id="2" xr3:uid="{082B2C1D-D0B9-4100-933F-C9C88017AD51}" uniqueName="2" name="Среднее время" queryTableFieldId="2" dataDxfId="10"/>
    <tableColumn id="3" xr3:uid="{CF09B150-4429-45B0-8047-93E3B1D3E12A}" uniqueName="3" name="Отклонение" queryTableFieldId="3" dataDxfId="9"/>
    <tableColumn id="4" xr3:uid="{7EBE48DE-EF61-432D-9065-16B4D2DA4708}" uniqueName="4" name="Мин" queryTableFieldId="4" dataDxfId="8"/>
    <tableColumn id="5" xr3:uid="{7DA36E49-406A-4751-8424-ED392CF5F40D}" uniqueName="5" name="Макс" queryTableFieldId="5" dataDxfId="7"/>
    <tableColumn id="6" xr3:uid="{D544150B-FC18-401D-9EC2-0E5BF5890B81}" uniqueName="6" name="0.001%" queryTableFieldId="6" dataDxfId="6"/>
    <tableColumn id="7" xr3:uid="{3B88069A-7730-4CB5-BA24-25FFF3B0D88C}" uniqueName="7" name="0.1%" queryTableFieldId="7" dataDxfId="5"/>
    <tableColumn id="8" xr3:uid="{3A85081F-7758-4D9A-A562-D9C32CE11A6D}" uniqueName="8" name="1%" queryTableFieldId="8" dataDxfId="4"/>
    <tableColumn id="9" xr3:uid="{685F835B-F793-44E4-B4F2-8B5C33C83319}" uniqueName="9" name="50%" queryTableFieldId="9" dataDxfId="3"/>
    <tableColumn id="10" xr3:uid="{96F4E968-2575-4D2F-962C-867A284B65E4}" uniqueName="10" name="99%" queryTableFieldId="10" dataDxfId="2"/>
    <tableColumn id="11" xr3:uid="{4E023C2C-1010-4059-8CAE-CB6D547CDB2F}" uniqueName="11" name="99.9%" queryTableFieldId="11" dataDxfId="1"/>
    <tableColumn id="12" xr3:uid="{65826AF4-AAC3-4B5A-A685-F79290F78C6B}" uniqueName="12" name="99.999%" queryTableFieldId="12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BB56F6-27DC-4090-91F6-E59E79DD4CC1}">
  <dimension ref="A1:F7"/>
  <sheetViews>
    <sheetView tabSelected="1" zoomScaleNormal="100" workbookViewId="0">
      <selection activeCell="A9" sqref="A9"/>
    </sheetView>
  </sheetViews>
  <sheetFormatPr defaultRowHeight="15" x14ac:dyDescent="0.25"/>
  <cols>
    <col min="1" max="1" width="11.5703125" bestFit="1" customWidth="1"/>
    <col min="2" max="4" width="11.140625" bestFit="1" customWidth="1"/>
    <col min="5" max="5" width="14.85546875" customWidth="1"/>
    <col min="6" max="9" width="11.140625" bestFit="1" customWidth="1"/>
    <col min="10" max="12" width="12.140625" bestFit="1" customWidth="1"/>
  </cols>
  <sheetData>
    <row r="1" spans="1:6" x14ac:dyDescent="0.25">
      <c r="B1" t="s">
        <v>34</v>
      </c>
      <c r="C1" t="s">
        <v>35</v>
      </c>
      <c r="D1" t="s">
        <v>36</v>
      </c>
      <c r="E1" t="s">
        <v>38</v>
      </c>
      <c r="F1" t="s">
        <v>37</v>
      </c>
    </row>
    <row r="2" spans="1:6" x14ac:dyDescent="0.25">
      <c r="A2" s="7" t="s">
        <v>47</v>
      </c>
      <c r="B2" s="6">
        <v>3.331</v>
      </c>
      <c r="C2" s="6">
        <v>0.3</v>
      </c>
      <c r="D2" s="9">
        <v>2753</v>
      </c>
      <c r="E2" s="9">
        <v>31650</v>
      </c>
      <c r="F2" s="9">
        <v>2668</v>
      </c>
    </row>
    <row r="3" spans="1:6" x14ac:dyDescent="0.25">
      <c r="A3" s="8" t="s">
        <v>46</v>
      </c>
      <c r="B3" s="6">
        <v>3.39</v>
      </c>
      <c r="C3" s="6">
        <v>0.29499999999999998</v>
      </c>
      <c r="D3" s="9">
        <v>48304</v>
      </c>
      <c r="E3" s="9">
        <v>36675</v>
      </c>
      <c r="F3" s="9">
        <v>44</v>
      </c>
    </row>
    <row r="4" spans="1:6" x14ac:dyDescent="0.25">
      <c r="A4" s="7" t="s">
        <v>48</v>
      </c>
      <c r="B4" s="6">
        <v>3.38</v>
      </c>
      <c r="C4" s="6">
        <v>0.29599999999999999</v>
      </c>
      <c r="D4" s="9">
        <v>2717</v>
      </c>
      <c r="E4" s="9">
        <v>28200</v>
      </c>
      <c r="F4" s="9">
        <v>3098</v>
      </c>
    </row>
    <row r="5" spans="1:6" x14ac:dyDescent="0.25">
      <c r="A5" s="8" t="s">
        <v>42</v>
      </c>
      <c r="B5" s="6">
        <v>1.9530000000000001</v>
      </c>
      <c r="C5" s="6">
        <v>0.51200000000000001</v>
      </c>
      <c r="D5" s="9">
        <v>621</v>
      </c>
      <c r="E5" s="9">
        <v>165050</v>
      </c>
      <c r="F5" s="9">
        <v>2608</v>
      </c>
    </row>
    <row r="6" spans="1:6" x14ac:dyDescent="0.25">
      <c r="A6" s="7" t="s">
        <v>43</v>
      </c>
      <c r="B6" s="6">
        <v>4.0819999999999999</v>
      </c>
      <c r="C6" s="6">
        <v>0.245</v>
      </c>
      <c r="D6" s="9">
        <v>1056</v>
      </c>
      <c r="E6" s="9">
        <v>19200</v>
      </c>
      <c r="F6" s="9">
        <v>1</v>
      </c>
    </row>
    <row r="7" spans="1:6" x14ac:dyDescent="0.25">
      <c r="A7" s="8" t="s">
        <v>44</v>
      </c>
      <c r="B7" s="6">
        <v>3.242</v>
      </c>
      <c r="C7" s="6">
        <v>0.308</v>
      </c>
      <c r="D7" s="9">
        <v>520</v>
      </c>
      <c r="E7" s="9">
        <v>32175</v>
      </c>
      <c r="F7" s="9">
        <v>1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FCCA7-B47A-4AFB-A8D5-E42B2F26F12C}">
  <dimension ref="A1:L50"/>
  <sheetViews>
    <sheetView topLeftCell="A13" zoomScaleNormal="100" workbookViewId="0">
      <selection activeCell="A37" sqref="A37:A42"/>
    </sheetView>
  </sheetViews>
  <sheetFormatPr defaultRowHeight="15" x14ac:dyDescent="0.25"/>
  <cols>
    <col min="1" max="1" width="11.5703125" bestFit="1" customWidth="1"/>
    <col min="2" max="3" width="11.140625" bestFit="1" customWidth="1"/>
    <col min="4" max="12" width="12.85546875" bestFit="1" customWidth="1"/>
  </cols>
  <sheetData>
    <row r="1" spans="1:12" x14ac:dyDescent="0.25">
      <c r="A1" t="s">
        <v>33</v>
      </c>
      <c r="B1" t="s">
        <v>45</v>
      </c>
      <c r="C1" t="s">
        <v>41</v>
      </c>
      <c r="D1" t="s">
        <v>9</v>
      </c>
      <c r="E1" t="s">
        <v>10</v>
      </c>
      <c r="F1" t="s">
        <v>39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40</v>
      </c>
    </row>
    <row r="2" spans="1:12" x14ac:dyDescent="0.25">
      <c r="A2" s="1" t="s">
        <v>0</v>
      </c>
      <c r="B2" s="4">
        <v>3.075E-2</v>
      </c>
      <c r="C2" s="4">
        <v>5.3899999999999998E-3</v>
      </c>
      <c r="D2" s="4">
        <v>2.7E-2</v>
      </c>
      <c r="E2" s="4">
        <v>0.157</v>
      </c>
      <c r="F2" s="4">
        <v>2.7E-2</v>
      </c>
      <c r="G2" s="4">
        <v>2.7E-2</v>
      </c>
      <c r="H2" s="4">
        <v>2.7E-2</v>
      </c>
      <c r="I2" s="4">
        <v>2.8000000000000001E-2</v>
      </c>
      <c r="J2" s="4">
        <v>5.1999999999999998E-2</v>
      </c>
      <c r="K2" s="4">
        <v>6.5000000000000002E-2</v>
      </c>
      <c r="L2" s="4">
        <v>0.17201</v>
      </c>
    </row>
    <row r="3" spans="1:12" x14ac:dyDescent="0.25">
      <c r="A3" s="1" t="s">
        <v>31</v>
      </c>
      <c r="B3" s="4">
        <v>0.61565999999999999</v>
      </c>
      <c r="C3" s="4">
        <v>6.368E-2</v>
      </c>
      <c r="D3" s="4">
        <v>0.55200000000000005</v>
      </c>
      <c r="E3" s="4">
        <v>1.22</v>
      </c>
      <c r="F3" s="4">
        <v>0.55100000000000005</v>
      </c>
      <c r="G3" s="4">
        <v>0.55200000000000005</v>
      </c>
      <c r="H3" s="4">
        <v>0.55300000000000005</v>
      </c>
      <c r="I3" s="4">
        <v>0.59299999999999997</v>
      </c>
      <c r="J3" s="4">
        <v>0.80400000000000005</v>
      </c>
      <c r="K3" s="4">
        <v>1.02101</v>
      </c>
      <c r="L3" s="4">
        <v>1.046</v>
      </c>
    </row>
    <row r="4" spans="1:12" x14ac:dyDescent="0.25">
      <c r="A4" s="1" t="s">
        <v>1</v>
      </c>
      <c r="B4" s="4">
        <v>3.022E-2</v>
      </c>
      <c r="C4" s="4">
        <v>5.2700000000000004E-3</v>
      </c>
      <c r="D4" s="4">
        <v>2.5999999999999999E-2</v>
      </c>
      <c r="E4" s="4">
        <v>0.161</v>
      </c>
      <c r="F4" s="4">
        <v>2.5999999999999999E-2</v>
      </c>
      <c r="G4" s="4">
        <v>2.5999999999999999E-2</v>
      </c>
      <c r="H4" s="4">
        <v>2.5999999999999999E-2</v>
      </c>
      <c r="I4" s="4">
        <v>2.8000000000000001E-2</v>
      </c>
      <c r="J4" s="4">
        <v>4.8000000000000001E-2</v>
      </c>
      <c r="K4" s="4">
        <v>6.3E-2</v>
      </c>
      <c r="L4" s="4">
        <v>0.19900000000000001</v>
      </c>
    </row>
    <row r="5" spans="1:12" x14ac:dyDescent="0.25">
      <c r="A5" s="1" t="s">
        <v>2</v>
      </c>
      <c r="B5" s="4">
        <v>4.3749999999999997E-2</v>
      </c>
      <c r="C5" s="4">
        <v>1.025E-2</v>
      </c>
      <c r="D5" s="4">
        <v>3.3000000000000002E-2</v>
      </c>
      <c r="E5" s="4">
        <v>0.188</v>
      </c>
      <c r="F5" s="4">
        <v>3.3099999999999997E-2</v>
      </c>
      <c r="G5" s="4">
        <v>3.4000000000000002E-2</v>
      </c>
      <c r="H5" s="4">
        <v>3.5000000000000003E-2</v>
      </c>
      <c r="I5" s="4">
        <v>4.2000000000000003E-2</v>
      </c>
      <c r="J5" s="4">
        <v>7.8E-2</v>
      </c>
      <c r="K5" s="4">
        <v>9.7009999999999999E-2</v>
      </c>
      <c r="L5" s="4">
        <v>0.19900000000000001</v>
      </c>
    </row>
    <row r="6" spans="1:12" x14ac:dyDescent="0.25">
      <c r="A6" s="1" t="s">
        <v>3</v>
      </c>
      <c r="B6" s="4">
        <v>2.4400000000000002E-2</v>
      </c>
      <c r="C6" s="4">
        <v>4.1399999999999996E-3</v>
      </c>
      <c r="D6" s="4">
        <v>0.02</v>
      </c>
      <c r="E6" s="4">
        <v>7.5999999999999998E-2</v>
      </c>
      <c r="F6" s="4">
        <v>0.02</v>
      </c>
      <c r="G6" s="4">
        <v>0.02</v>
      </c>
      <c r="H6" s="4">
        <v>2.1000000000000001E-2</v>
      </c>
      <c r="I6" s="4">
        <v>2.3E-2</v>
      </c>
      <c r="J6" s="4">
        <v>4.3999999999999997E-2</v>
      </c>
      <c r="K6" s="4">
        <v>5.5E-2</v>
      </c>
      <c r="L6" s="4">
        <v>0.14699999999999999</v>
      </c>
    </row>
    <row r="7" spans="1:12" x14ac:dyDescent="0.25">
      <c r="A7" s="1" t="s">
        <v>4</v>
      </c>
      <c r="B7" s="4">
        <v>1.436E-2</v>
      </c>
      <c r="C7" s="4">
        <v>2.5899999999999999E-3</v>
      </c>
      <c r="D7" s="4">
        <v>1.2E-2</v>
      </c>
      <c r="E7" s="4">
        <v>6.0999999999999999E-2</v>
      </c>
      <c r="F7" s="4">
        <v>1.2E-2</v>
      </c>
      <c r="G7" s="4">
        <v>1.2E-2</v>
      </c>
      <c r="H7" s="4">
        <v>1.2E-2</v>
      </c>
      <c r="I7" s="4">
        <v>1.4E-2</v>
      </c>
      <c r="J7" s="4">
        <v>2.8000000000000001E-2</v>
      </c>
      <c r="K7" s="4">
        <v>3.7999999999999999E-2</v>
      </c>
      <c r="L7" s="4">
        <v>0.13702</v>
      </c>
    </row>
    <row r="8" spans="1:12" x14ac:dyDescent="0.25">
      <c r="A8" s="1"/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3.1289999999999998E-2</v>
      </c>
      <c r="C9" s="4">
        <v>6.2599999999999999E-3</v>
      </c>
      <c r="D9" s="4">
        <v>2.7E-2</v>
      </c>
      <c r="E9" s="4">
        <v>0.16600000000000001</v>
      </c>
      <c r="F9" s="4">
        <v>2.7E-2</v>
      </c>
      <c r="G9" s="4">
        <v>2.7E-2</v>
      </c>
      <c r="H9" s="4">
        <v>2.7E-2</v>
      </c>
      <c r="I9" s="4">
        <v>2.8000000000000001E-2</v>
      </c>
      <c r="J9" s="4">
        <v>5.1999999999999998E-2</v>
      </c>
      <c r="K9" s="4">
        <v>0.11902</v>
      </c>
      <c r="L9" s="4">
        <v>0.1658</v>
      </c>
    </row>
    <row r="10" spans="1:12" x14ac:dyDescent="0.25">
      <c r="A10" s="1" t="s">
        <v>31</v>
      </c>
      <c r="B10" s="4">
        <v>0.62392999999999998</v>
      </c>
      <c r="C10" s="4">
        <v>6.3719999999999999E-2</v>
      </c>
      <c r="D10" s="4">
        <v>0.55200000000000005</v>
      </c>
      <c r="E10" s="4">
        <v>1.1240000000000001</v>
      </c>
      <c r="F10" s="4">
        <v>0.55200000000000005</v>
      </c>
      <c r="G10" s="4">
        <v>0.55200000000000005</v>
      </c>
      <c r="H10" s="4">
        <v>0.55300000000000005</v>
      </c>
      <c r="I10" s="4">
        <v>0.61099999999999999</v>
      </c>
      <c r="J10" s="4">
        <v>0.78102000000000005</v>
      </c>
      <c r="K10" s="4">
        <v>0.95199999999999996</v>
      </c>
      <c r="L10" s="4">
        <v>1.1132</v>
      </c>
    </row>
    <row r="11" spans="1:12" x14ac:dyDescent="0.25">
      <c r="A11" s="1" t="s">
        <v>1</v>
      </c>
      <c r="B11" s="4">
        <v>3.014E-2</v>
      </c>
      <c r="C11" s="4">
        <v>5.79E-3</v>
      </c>
      <c r="D11" s="4">
        <v>2.5999999999999999E-2</v>
      </c>
      <c r="E11" s="4">
        <v>0.16500000000000001</v>
      </c>
      <c r="F11" s="4">
        <v>2.5999999999999999E-2</v>
      </c>
      <c r="G11" s="4">
        <v>2.5999999999999999E-2</v>
      </c>
      <c r="H11" s="4">
        <v>2.5999999999999999E-2</v>
      </c>
      <c r="I11" s="4">
        <v>2.7E-2</v>
      </c>
      <c r="J11" s="4">
        <v>4.9000000000000002E-2</v>
      </c>
      <c r="K11" s="4">
        <v>6.9000000000000006E-2</v>
      </c>
      <c r="L11" s="4">
        <v>0.16489999999999999</v>
      </c>
    </row>
    <row r="12" spans="1:12" x14ac:dyDescent="0.25">
      <c r="A12" s="1" t="s">
        <v>2</v>
      </c>
      <c r="B12" s="4">
        <v>4.3839999999999997E-2</v>
      </c>
      <c r="C12" s="4">
        <v>9.8700000000000003E-3</v>
      </c>
      <c r="D12" s="4">
        <v>3.3000000000000002E-2</v>
      </c>
      <c r="E12" s="4">
        <v>0.191</v>
      </c>
      <c r="F12" s="4">
        <v>3.3099999999999997E-2</v>
      </c>
      <c r="G12" s="4">
        <v>3.4000000000000002E-2</v>
      </c>
      <c r="H12" s="4">
        <v>3.5000000000000003E-2</v>
      </c>
      <c r="I12" s="4">
        <v>4.2000000000000003E-2</v>
      </c>
      <c r="J12" s="4">
        <v>7.7009999999999995E-2</v>
      </c>
      <c r="K12" s="4">
        <v>9.4E-2</v>
      </c>
      <c r="L12" s="4">
        <v>0.1888</v>
      </c>
    </row>
    <row r="13" spans="1:12" x14ac:dyDescent="0.25">
      <c r="A13" s="1" t="s">
        <v>3</v>
      </c>
      <c r="B13" s="4">
        <v>2.4490000000000001E-2</v>
      </c>
      <c r="C13" s="4">
        <v>5.11E-3</v>
      </c>
      <c r="D13" s="4">
        <v>0.02</v>
      </c>
      <c r="E13" s="4">
        <v>0.17599999999999999</v>
      </c>
      <c r="F13" s="4">
        <v>0.02</v>
      </c>
      <c r="G13" s="4">
        <v>0.02</v>
      </c>
      <c r="H13" s="4">
        <v>0.02</v>
      </c>
      <c r="I13" s="4">
        <v>2.3E-2</v>
      </c>
      <c r="J13" s="4">
        <v>4.4999999999999998E-2</v>
      </c>
      <c r="K13" s="4">
        <v>0.06</v>
      </c>
      <c r="L13" s="4">
        <v>0.17469999999999999</v>
      </c>
    </row>
    <row r="14" spans="1:12" x14ac:dyDescent="0.25">
      <c r="A14" s="1" t="s">
        <v>4</v>
      </c>
      <c r="B14" s="4">
        <v>1.436E-2</v>
      </c>
      <c r="C14" s="4">
        <v>2.7899999999999999E-3</v>
      </c>
      <c r="D14" s="4">
        <v>1.2E-2</v>
      </c>
      <c r="E14" s="4">
        <v>0.14399999999999999</v>
      </c>
      <c r="F14" s="4">
        <v>1.2E-2</v>
      </c>
      <c r="G14" s="4">
        <v>1.2E-2</v>
      </c>
      <c r="H14" s="4">
        <v>1.2E-2</v>
      </c>
      <c r="I14" s="4">
        <v>1.4E-2</v>
      </c>
      <c r="J14" s="4">
        <v>2.7E-2</v>
      </c>
      <c r="K14" s="4">
        <v>0.04</v>
      </c>
      <c r="L14" s="4">
        <v>0.1356</v>
      </c>
    </row>
    <row r="15" spans="1:12" x14ac:dyDescent="0.25">
      <c r="A15" s="1"/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3.1449999999999999E-2</v>
      </c>
      <c r="C16" s="4">
        <v>5.4099999999999999E-3</v>
      </c>
      <c r="D16" s="4">
        <v>2.7E-2</v>
      </c>
      <c r="E16" s="4">
        <v>0.161</v>
      </c>
      <c r="F16" s="4">
        <v>2.7E-2</v>
      </c>
      <c r="G16" s="4">
        <v>2.7E-2</v>
      </c>
      <c r="H16" s="4">
        <v>2.7E-2</v>
      </c>
      <c r="I16" s="4">
        <v>2.8000000000000001E-2</v>
      </c>
      <c r="J16" s="4">
        <v>5.2010000000000001E-2</v>
      </c>
      <c r="K16" s="4">
        <v>6.7000000000000004E-2</v>
      </c>
      <c r="L16" s="4">
        <v>0.16</v>
      </c>
    </row>
    <row r="17" spans="1:12" x14ac:dyDescent="0.25">
      <c r="A17" s="1" t="s">
        <v>31</v>
      </c>
      <c r="B17" s="4">
        <v>0.62295</v>
      </c>
      <c r="C17" s="4">
        <v>6.7500000000000004E-2</v>
      </c>
      <c r="D17" s="4">
        <v>0.55200000000000005</v>
      </c>
      <c r="E17" s="4">
        <v>1.8</v>
      </c>
      <c r="F17" s="4">
        <v>0.55200000000000005</v>
      </c>
      <c r="G17" s="4">
        <v>0.55200000000000005</v>
      </c>
      <c r="H17" s="4">
        <v>0.55300000000000005</v>
      </c>
      <c r="I17" s="4">
        <v>0.61399999999999999</v>
      </c>
      <c r="J17" s="4">
        <v>0.77300999999999997</v>
      </c>
      <c r="K17" s="4">
        <v>1.10137</v>
      </c>
      <c r="L17" s="4">
        <v>1.798</v>
      </c>
    </row>
    <row r="18" spans="1:12" x14ac:dyDescent="0.25">
      <c r="A18" s="1" t="s">
        <v>1</v>
      </c>
      <c r="B18" s="4">
        <v>3.0360000000000002E-2</v>
      </c>
      <c r="C18" s="4">
        <v>5.4599999999999996E-3</v>
      </c>
      <c r="D18" s="4">
        <v>2.5999999999999999E-2</v>
      </c>
      <c r="E18" s="4">
        <v>0.183</v>
      </c>
      <c r="F18" s="4">
        <v>2.5999999999999999E-2</v>
      </c>
      <c r="G18" s="4">
        <v>2.5999999999999999E-2</v>
      </c>
      <c r="H18" s="4">
        <v>2.699E-2</v>
      </c>
      <c r="I18" s="4">
        <v>2.8000000000000001E-2</v>
      </c>
      <c r="J18" s="4">
        <v>4.8000000000000001E-2</v>
      </c>
      <c r="K18" s="4">
        <v>6.5000000000000002E-2</v>
      </c>
      <c r="L18" s="4">
        <v>0.18090000000000001</v>
      </c>
    </row>
    <row r="19" spans="1:12" x14ac:dyDescent="0.25">
      <c r="A19" s="1" t="s">
        <v>2</v>
      </c>
      <c r="B19" s="4">
        <v>4.4040000000000003E-2</v>
      </c>
      <c r="C19" s="4">
        <v>1.0359999999999999E-2</v>
      </c>
      <c r="D19" s="4">
        <v>3.3000000000000002E-2</v>
      </c>
      <c r="E19" s="4">
        <v>0.20399999999999999</v>
      </c>
      <c r="F19" s="4">
        <v>3.3099999999999997E-2</v>
      </c>
      <c r="G19" s="4">
        <v>3.4000000000000002E-2</v>
      </c>
      <c r="H19" s="4">
        <v>3.4000000000000002E-2</v>
      </c>
      <c r="I19" s="4">
        <v>4.2000000000000003E-2</v>
      </c>
      <c r="J19" s="4">
        <v>7.8009999999999996E-2</v>
      </c>
      <c r="K19" s="4">
        <v>9.9000000000000005E-2</v>
      </c>
      <c r="L19" s="4">
        <v>0.20250000000000001</v>
      </c>
    </row>
    <row r="20" spans="1:12" x14ac:dyDescent="0.25">
      <c r="A20" s="1" t="s">
        <v>3</v>
      </c>
      <c r="B20" s="4">
        <v>2.4729999999999999E-2</v>
      </c>
      <c r="C20" s="4">
        <v>4.81E-3</v>
      </c>
      <c r="D20" s="4">
        <v>0.02</v>
      </c>
      <c r="E20" s="4">
        <v>0.154</v>
      </c>
      <c r="F20" s="4">
        <v>0.02</v>
      </c>
      <c r="G20" s="4">
        <v>0.02</v>
      </c>
      <c r="H20" s="4">
        <v>0.02</v>
      </c>
      <c r="I20" s="4">
        <v>2.3E-2</v>
      </c>
      <c r="J20" s="4">
        <v>4.4999999999999998E-2</v>
      </c>
      <c r="K20" s="4">
        <v>5.7000000000000002E-2</v>
      </c>
      <c r="L20" s="4">
        <v>0.1532</v>
      </c>
    </row>
    <row r="21" spans="1:12" x14ac:dyDescent="0.25">
      <c r="A21" s="1" t="s">
        <v>4</v>
      </c>
      <c r="B21" s="4">
        <v>1.443E-2</v>
      </c>
      <c r="C21" s="4">
        <v>2.7200000000000002E-3</v>
      </c>
      <c r="D21" s="4">
        <v>1.2E-2</v>
      </c>
      <c r="E21" s="4">
        <v>0.14299999999999999</v>
      </c>
      <c r="F21" s="4">
        <v>1.2E-2</v>
      </c>
      <c r="G21" s="4">
        <v>1.2E-2</v>
      </c>
      <c r="H21" s="4">
        <v>1.2999999999999999E-2</v>
      </c>
      <c r="I21" s="4">
        <v>1.4E-2</v>
      </c>
      <c r="J21" s="4">
        <v>2.7E-2</v>
      </c>
      <c r="K21" s="4">
        <v>3.6999999999999998E-2</v>
      </c>
      <c r="L21" s="4">
        <v>0.13400000000000001</v>
      </c>
    </row>
    <row r="22" spans="1:12" x14ac:dyDescent="0.25">
      <c r="A22" s="1"/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3.09E-2</v>
      </c>
      <c r="C23" s="4">
        <v>5.6899999999999997E-3</v>
      </c>
      <c r="D23" s="4">
        <v>2.7E-2</v>
      </c>
      <c r="E23" s="4">
        <v>0.16300000000000001</v>
      </c>
      <c r="F23" s="4">
        <v>2.7E-2</v>
      </c>
      <c r="G23" s="4">
        <v>2.7E-2</v>
      </c>
      <c r="H23" s="4">
        <v>2.7E-2</v>
      </c>
      <c r="I23" s="4">
        <v>2.8000000000000001E-2</v>
      </c>
      <c r="J23" s="4">
        <v>5.0999999999999997E-2</v>
      </c>
      <c r="K23" s="4">
        <v>7.1999999999999995E-2</v>
      </c>
      <c r="L23" s="4">
        <v>0.16239999999999999</v>
      </c>
    </row>
    <row r="24" spans="1:12" x14ac:dyDescent="0.25">
      <c r="A24" s="1" t="s">
        <v>31</v>
      </c>
      <c r="B24" s="4">
        <v>0.61909999999999998</v>
      </c>
      <c r="C24" s="4">
        <v>8.2619999999999999E-2</v>
      </c>
      <c r="D24" s="4">
        <v>0.55200000000000005</v>
      </c>
      <c r="E24" s="4">
        <v>2.66</v>
      </c>
      <c r="F24" s="4">
        <v>0.55200000000000005</v>
      </c>
      <c r="G24" s="4">
        <v>0.55200000000000005</v>
      </c>
      <c r="H24" s="4">
        <v>0.55300000000000005</v>
      </c>
      <c r="I24" s="4">
        <v>0.6</v>
      </c>
      <c r="J24" s="4">
        <v>0.80001</v>
      </c>
      <c r="K24" s="4">
        <v>1.06914</v>
      </c>
      <c r="L24" s="4">
        <v>2.6463999999999999</v>
      </c>
    </row>
    <row r="25" spans="1:12" x14ac:dyDescent="0.25">
      <c r="A25" s="1" t="s">
        <v>1</v>
      </c>
      <c r="B25" s="4">
        <v>3.0210000000000001E-2</v>
      </c>
      <c r="C25" s="4">
        <v>5.4299999999999999E-3</v>
      </c>
      <c r="D25" s="4">
        <v>2.5999999999999999E-2</v>
      </c>
      <c r="E25" s="4">
        <v>0.16900000000000001</v>
      </c>
      <c r="F25" s="4">
        <v>2.5999999999999999E-2</v>
      </c>
      <c r="G25" s="4">
        <v>2.5999999999999999E-2</v>
      </c>
      <c r="H25" s="4">
        <v>2.5999999999999999E-2</v>
      </c>
      <c r="I25" s="4">
        <v>2.8000000000000001E-2</v>
      </c>
      <c r="J25" s="4">
        <v>4.9000000000000002E-2</v>
      </c>
      <c r="K25" s="4">
        <v>6.9000000000000006E-2</v>
      </c>
      <c r="L25" s="4">
        <v>0.16880000000000001</v>
      </c>
    </row>
    <row r="26" spans="1:12" x14ac:dyDescent="0.25">
      <c r="A26" s="1" t="s">
        <v>2</v>
      </c>
      <c r="B26" s="4">
        <v>4.4339999999999997E-2</v>
      </c>
      <c r="C26" s="4">
        <v>1.272E-2</v>
      </c>
      <c r="D26" s="4">
        <v>3.4000000000000002E-2</v>
      </c>
      <c r="E26" s="4">
        <v>0.36099999999999999</v>
      </c>
      <c r="F26" s="4">
        <v>3.4000000000000002E-2</v>
      </c>
      <c r="G26" s="4">
        <v>3.4000000000000002E-2</v>
      </c>
      <c r="H26" s="4">
        <v>3.5000000000000003E-2</v>
      </c>
      <c r="I26" s="4">
        <v>0.04</v>
      </c>
      <c r="J26" s="4">
        <v>8.3000000000000004E-2</v>
      </c>
      <c r="K26" s="4">
        <v>0.17299999999999999</v>
      </c>
      <c r="L26" s="4">
        <v>0.35120000000000001</v>
      </c>
    </row>
    <row r="27" spans="1:12" x14ac:dyDescent="0.25">
      <c r="A27" s="1" t="s">
        <v>3</v>
      </c>
      <c r="B27" s="4">
        <v>2.3959999999999999E-2</v>
      </c>
      <c r="C27" s="4">
        <v>6.3E-3</v>
      </c>
      <c r="D27" s="4">
        <v>0.02</v>
      </c>
      <c r="E27" s="4">
        <v>0.17299999999999999</v>
      </c>
      <c r="F27" s="4">
        <v>0.02</v>
      </c>
      <c r="G27" s="4">
        <v>0.02</v>
      </c>
      <c r="H27" s="4">
        <v>0.02</v>
      </c>
      <c r="I27" s="4">
        <v>2.1999999999999999E-2</v>
      </c>
      <c r="J27" s="4">
        <v>4.7010000000000003E-2</v>
      </c>
      <c r="K27" s="4">
        <v>0.10004</v>
      </c>
      <c r="L27" s="4">
        <v>0.1721</v>
      </c>
    </row>
    <row r="28" spans="1:12" x14ac:dyDescent="0.25">
      <c r="A28" s="1" t="s">
        <v>4</v>
      </c>
      <c r="B28" s="4">
        <v>1.5219999999999999E-2</v>
      </c>
      <c r="C28" s="4">
        <v>5.1000000000000004E-3</v>
      </c>
      <c r="D28" s="4">
        <v>1.2E-2</v>
      </c>
      <c r="E28" s="4">
        <v>0.216</v>
      </c>
      <c r="F28" s="4">
        <v>1.2E-2</v>
      </c>
      <c r="G28" s="4">
        <v>1.2999999999999999E-2</v>
      </c>
      <c r="H28" s="4">
        <v>1.2999999999999999E-2</v>
      </c>
      <c r="I28" s="4">
        <v>1.4E-2</v>
      </c>
      <c r="J28" s="4">
        <v>3.3000000000000002E-2</v>
      </c>
      <c r="K28" s="4">
        <v>6.0999999999999999E-2</v>
      </c>
      <c r="L28" s="4">
        <v>0.21590000000000001</v>
      </c>
    </row>
    <row r="29" spans="1:12" x14ac:dyDescent="0.25">
      <c r="A29" s="1"/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3.1309999999999998E-2</v>
      </c>
      <c r="C30" s="4">
        <v>7.3600000000000002E-3</v>
      </c>
      <c r="D30" s="4">
        <v>2.7E-2</v>
      </c>
      <c r="E30" s="4">
        <v>0.216</v>
      </c>
      <c r="F30" s="4">
        <v>2.7E-2</v>
      </c>
      <c r="G30" s="4">
        <v>2.7E-2</v>
      </c>
      <c r="H30" s="4">
        <v>2.7E-2</v>
      </c>
      <c r="I30" s="4">
        <v>2.8000000000000001E-2</v>
      </c>
      <c r="J30" s="4">
        <v>5.3999999999999999E-2</v>
      </c>
      <c r="K30" s="4">
        <v>0.151</v>
      </c>
      <c r="L30" s="4">
        <v>0.21540000000000001</v>
      </c>
    </row>
    <row r="31" spans="1:12" x14ac:dyDescent="0.25">
      <c r="A31" s="1" t="s">
        <v>31</v>
      </c>
      <c r="B31" s="4">
        <v>0.62699000000000005</v>
      </c>
      <c r="C31" s="4">
        <v>7.2160000000000002E-2</v>
      </c>
      <c r="D31" s="4">
        <v>0.55200000000000005</v>
      </c>
      <c r="E31" s="4">
        <v>1.746</v>
      </c>
      <c r="F31" s="4">
        <v>0.55200000000000005</v>
      </c>
      <c r="G31" s="4">
        <v>0.55200000000000005</v>
      </c>
      <c r="H31" s="4">
        <v>0.55300000000000005</v>
      </c>
      <c r="I31" s="4">
        <v>0.61250000000000004</v>
      </c>
      <c r="J31" s="4">
        <v>0.81001000000000001</v>
      </c>
      <c r="K31" s="4">
        <v>1.0663400000000001</v>
      </c>
      <c r="L31" s="4">
        <v>1.7446999999999999</v>
      </c>
    </row>
    <row r="32" spans="1:12" x14ac:dyDescent="0.25">
      <c r="A32" s="1" t="s">
        <v>1</v>
      </c>
      <c r="B32" s="4">
        <v>3.0259999999999999E-2</v>
      </c>
      <c r="C32" s="4">
        <v>5.7999999999999996E-3</v>
      </c>
      <c r="D32" s="4">
        <v>2.5999999999999999E-2</v>
      </c>
      <c r="E32" s="4">
        <v>0.16200000000000001</v>
      </c>
      <c r="F32" s="4">
        <v>2.5999999999999999E-2</v>
      </c>
      <c r="G32" s="4">
        <v>2.5999999999999999E-2</v>
      </c>
      <c r="H32" s="4">
        <v>2.5999999999999999E-2</v>
      </c>
      <c r="I32" s="4">
        <v>2.7E-2</v>
      </c>
      <c r="J32" s="4">
        <v>4.9000000000000002E-2</v>
      </c>
      <c r="K32" s="4">
        <v>8.4000000000000005E-2</v>
      </c>
      <c r="L32" s="4">
        <v>0.16139999999999999</v>
      </c>
    </row>
    <row r="33" spans="1:12" x14ac:dyDescent="0.25">
      <c r="A33" s="1" t="s">
        <v>2</v>
      </c>
      <c r="B33" s="4">
        <v>4.4240000000000002E-2</v>
      </c>
      <c r="C33" s="4">
        <v>1.0659999999999999E-2</v>
      </c>
      <c r="D33" s="4">
        <v>3.4000000000000002E-2</v>
      </c>
      <c r="E33" s="4">
        <v>0.188</v>
      </c>
      <c r="F33" s="4">
        <v>3.4000000000000002E-2</v>
      </c>
      <c r="G33" s="4">
        <v>3.4000000000000002E-2</v>
      </c>
      <c r="H33" s="4">
        <v>3.5000000000000003E-2</v>
      </c>
      <c r="I33" s="4">
        <v>4.2000000000000003E-2</v>
      </c>
      <c r="J33" s="4">
        <v>7.9000000000000001E-2</v>
      </c>
      <c r="K33" s="4">
        <v>0.11205</v>
      </c>
      <c r="L33" s="4">
        <v>0.18740000000000001</v>
      </c>
    </row>
    <row r="34" spans="1:12" x14ac:dyDescent="0.25">
      <c r="A34" s="1" t="s">
        <v>3</v>
      </c>
      <c r="B34" s="4">
        <v>2.4899999999999999E-2</v>
      </c>
      <c r="C34" s="4">
        <v>6.0000000000000001E-3</v>
      </c>
      <c r="D34" s="4">
        <v>0.02</v>
      </c>
      <c r="E34" s="4">
        <v>0.32</v>
      </c>
      <c r="F34" s="4">
        <v>0.02</v>
      </c>
      <c r="G34" s="4">
        <v>0.02</v>
      </c>
      <c r="H34" s="4">
        <v>0.02</v>
      </c>
      <c r="I34" s="4">
        <v>2.3E-2</v>
      </c>
      <c r="J34" s="4">
        <v>4.5010000000000001E-2</v>
      </c>
      <c r="K34" s="4">
        <v>7.8E-2</v>
      </c>
      <c r="L34" s="4">
        <v>0.307</v>
      </c>
    </row>
    <row r="35" spans="1:12" x14ac:dyDescent="0.25">
      <c r="A35" s="1" t="s">
        <v>4</v>
      </c>
      <c r="B35" s="4">
        <v>1.482E-2</v>
      </c>
      <c r="C35" s="4">
        <v>3.0999999999999999E-3</v>
      </c>
      <c r="D35" s="4">
        <v>1.2E-2</v>
      </c>
      <c r="E35" s="4">
        <v>0.14499999999999999</v>
      </c>
      <c r="F35" s="4">
        <v>1.2E-2</v>
      </c>
      <c r="G35" s="4">
        <v>1.2E-2</v>
      </c>
      <c r="H35" s="4">
        <v>1.2E-2</v>
      </c>
      <c r="I35" s="4">
        <v>1.4999999999999999E-2</v>
      </c>
      <c r="J35" s="4">
        <v>2.9000000000000001E-2</v>
      </c>
      <c r="K35" s="4">
        <v>3.9E-2</v>
      </c>
      <c r="L35" s="4">
        <v>0.13739999999999999</v>
      </c>
    </row>
    <row r="37" spans="1:12" x14ac:dyDescent="0.25">
      <c r="A37" t="s">
        <v>47</v>
      </c>
      <c r="B37" s="4">
        <f t="shared" ref="B37:L37" si="0">AVERAGE(B2,B9,B16,B23,B30)</f>
        <v>3.1139999999999994E-2</v>
      </c>
      <c r="C37">
        <f t="shared" si="0"/>
        <v>6.0219999999999996E-3</v>
      </c>
      <c r="D37">
        <f t="shared" si="0"/>
        <v>2.7000000000000003E-2</v>
      </c>
      <c r="E37">
        <f t="shared" si="0"/>
        <v>0.1726</v>
      </c>
      <c r="F37">
        <f t="shared" si="0"/>
        <v>2.7000000000000003E-2</v>
      </c>
      <c r="G37">
        <f t="shared" si="0"/>
        <v>2.7000000000000003E-2</v>
      </c>
      <c r="H37">
        <f t="shared" si="0"/>
        <v>2.7000000000000003E-2</v>
      </c>
      <c r="I37">
        <f t="shared" si="0"/>
        <v>2.8000000000000004E-2</v>
      </c>
      <c r="J37">
        <f t="shared" si="0"/>
        <v>5.2201999999999991E-2</v>
      </c>
      <c r="K37">
        <f t="shared" si="0"/>
        <v>9.4803999999999999E-2</v>
      </c>
      <c r="L37">
        <f t="shared" si="0"/>
        <v>0.175122</v>
      </c>
    </row>
    <row r="38" spans="1:12" x14ac:dyDescent="0.25">
      <c r="A38" t="s">
        <v>46</v>
      </c>
      <c r="B38">
        <f t="shared" ref="B38:L38" si="1">AVERAGE(B3,B10,B17,B24,B31)</f>
        <v>0.621726</v>
      </c>
      <c r="C38">
        <f t="shared" si="1"/>
        <v>6.9935999999999998E-2</v>
      </c>
      <c r="D38">
        <f t="shared" si="1"/>
        <v>0.55200000000000005</v>
      </c>
      <c r="E38">
        <f t="shared" si="1"/>
        <v>1.7100000000000002</v>
      </c>
      <c r="F38">
        <f t="shared" si="1"/>
        <v>0.55180000000000007</v>
      </c>
      <c r="G38">
        <f t="shared" si="1"/>
        <v>0.55200000000000005</v>
      </c>
      <c r="H38">
        <f t="shared" si="1"/>
        <v>0.55300000000000005</v>
      </c>
      <c r="I38">
        <f t="shared" si="1"/>
        <v>0.60609999999999997</v>
      </c>
      <c r="J38">
        <f t="shared" si="1"/>
        <v>0.79361000000000004</v>
      </c>
      <c r="K38">
        <f t="shared" si="1"/>
        <v>1.0419719999999999</v>
      </c>
      <c r="L38">
        <f t="shared" si="1"/>
        <v>1.6696599999999999</v>
      </c>
    </row>
    <row r="39" spans="1:12" x14ac:dyDescent="0.25">
      <c r="A39" t="s">
        <v>48</v>
      </c>
      <c r="B39">
        <f t="shared" ref="B39:L39" si="2">AVERAGE(B4,B11,B18,B25,B32)</f>
        <v>3.0237999999999998E-2</v>
      </c>
      <c r="C39">
        <f t="shared" si="2"/>
        <v>5.5500000000000002E-3</v>
      </c>
      <c r="D39">
        <f t="shared" si="2"/>
        <v>2.6000000000000002E-2</v>
      </c>
      <c r="E39">
        <f t="shared" si="2"/>
        <v>0.16800000000000001</v>
      </c>
      <c r="F39">
        <f t="shared" si="2"/>
        <v>2.6000000000000002E-2</v>
      </c>
      <c r="G39">
        <f t="shared" si="2"/>
        <v>2.6000000000000002E-2</v>
      </c>
      <c r="H39">
        <f t="shared" si="2"/>
        <v>2.6197999999999999E-2</v>
      </c>
      <c r="I39">
        <f t="shared" si="2"/>
        <v>2.7600000000000003E-2</v>
      </c>
      <c r="J39">
        <f t="shared" si="2"/>
        <v>4.8599999999999997E-2</v>
      </c>
      <c r="K39">
        <f t="shared" si="2"/>
        <v>7.0000000000000007E-2</v>
      </c>
      <c r="L39">
        <f t="shared" si="2"/>
        <v>0.17499999999999999</v>
      </c>
    </row>
    <row r="40" spans="1:12" x14ac:dyDescent="0.25">
      <c r="A40" t="s">
        <v>42</v>
      </c>
      <c r="B40">
        <f t="shared" ref="B40:L40" si="3">AVERAGE(B5,B12,B19,B26,B33)</f>
        <v>4.4041999999999998E-2</v>
      </c>
      <c r="C40">
        <f t="shared" si="3"/>
        <v>1.0772E-2</v>
      </c>
      <c r="D40">
        <f t="shared" si="3"/>
        <v>3.3399999999999999E-2</v>
      </c>
      <c r="E40">
        <f t="shared" si="3"/>
        <v>0.22639999999999999</v>
      </c>
      <c r="F40">
        <f t="shared" si="3"/>
        <v>3.3460000000000004E-2</v>
      </c>
      <c r="G40">
        <f t="shared" si="3"/>
        <v>3.4000000000000002E-2</v>
      </c>
      <c r="H40">
        <f t="shared" si="3"/>
        <v>3.4800000000000005E-2</v>
      </c>
      <c r="I40">
        <f t="shared" si="3"/>
        <v>4.1600000000000005E-2</v>
      </c>
      <c r="J40">
        <f t="shared" si="3"/>
        <v>7.9003999999999991E-2</v>
      </c>
      <c r="K40">
        <f t="shared" si="3"/>
        <v>0.115012</v>
      </c>
      <c r="L40">
        <f t="shared" si="3"/>
        <v>0.22578000000000001</v>
      </c>
    </row>
    <row r="41" spans="1:12" x14ac:dyDescent="0.25">
      <c r="A41" t="s">
        <v>43</v>
      </c>
      <c r="B41">
        <f t="shared" ref="B41:L41" si="4">AVERAGE(B6,B13,B20,B27,B34)</f>
        <v>2.4496E-2</v>
      </c>
      <c r="C41">
        <f t="shared" si="4"/>
        <v>5.2720000000000006E-3</v>
      </c>
      <c r="D41">
        <f t="shared" si="4"/>
        <v>0.02</v>
      </c>
      <c r="E41">
        <f t="shared" si="4"/>
        <v>0.17980000000000002</v>
      </c>
      <c r="F41">
        <f t="shared" si="4"/>
        <v>0.02</v>
      </c>
      <c r="G41">
        <f t="shared" si="4"/>
        <v>0.02</v>
      </c>
      <c r="H41">
        <f t="shared" si="4"/>
        <v>2.0200000000000003E-2</v>
      </c>
      <c r="I41">
        <f t="shared" si="4"/>
        <v>2.2799999999999997E-2</v>
      </c>
      <c r="J41">
        <f t="shared" si="4"/>
        <v>4.5204000000000001E-2</v>
      </c>
      <c r="K41">
        <f t="shared" si="4"/>
        <v>7.0008000000000001E-2</v>
      </c>
      <c r="L41">
        <f t="shared" si="4"/>
        <v>0.1908</v>
      </c>
    </row>
    <row r="42" spans="1:12" x14ac:dyDescent="0.25">
      <c r="A42" t="s">
        <v>44</v>
      </c>
      <c r="B42">
        <f t="shared" ref="B42:L42" si="5">AVERAGE(B7,B14,B21,B28,B35)</f>
        <v>1.4638000000000002E-2</v>
      </c>
      <c r="C42">
        <f t="shared" si="5"/>
        <v>3.2599999999999999E-3</v>
      </c>
      <c r="D42">
        <f t="shared" si="5"/>
        <v>1.2E-2</v>
      </c>
      <c r="E42">
        <f t="shared" si="5"/>
        <v>0.14179999999999998</v>
      </c>
      <c r="F42">
        <f t="shared" si="5"/>
        <v>1.2E-2</v>
      </c>
      <c r="G42">
        <f t="shared" si="5"/>
        <v>1.2199999999999999E-2</v>
      </c>
      <c r="H42">
        <f t="shared" si="5"/>
        <v>1.24E-2</v>
      </c>
      <c r="I42">
        <f t="shared" si="5"/>
        <v>1.4200000000000001E-2</v>
      </c>
      <c r="J42">
        <f t="shared" si="5"/>
        <v>2.8800000000000003E-2</v>
      </c>
      <c r="K42">
        <f t="shared" si="5"/>
        <v>4.2999999999999997E-2</v>
      </c>
      <c r="L42" s="4">
        <f t="shared" si="5"/>
        <v>0.15198399999999998</v>
      </c>
    </row>
    <row r="43" spans="1:12" x14ac:dyDescent="0.25">
      <c r="D43">
        <f>MAX(D37:D42)</f>
        <v>0.55200000000000005</v>
      </c>
      <c r="E43">
        <f t="shared" ref="E43:L43" si="6">MAX(E37:E42)</f>
        <v>1.7100000000000002</v>
      </c>
      <c r="F43">
        <f t="shared" si="6"/>
        <v>0.55180000000000007</v>
      </c>
      <c r="G43">
        <f t="shared" si="6"/>
        <v>0.55200000000000005</v>
      </c>
      <c r="H43">
        <f t="shared" si="6"/>
        <v>0.55300000000000005</v>
      </c>
      <c r="I43">
        <f t="shared" si="6"/>
        <v>0.60609999999999997</v>
      </c>
      <c r="J43">
        <f t="shared" si="6"/>
        <v>0.79361000000000004</v>
      </c>
      <c r="K43">
        <f t="shared" si="6"/>
        <v>1.0419719999999999</v>
      </c>
      <c r="L43">
        <f t="shared" si="6"/>
        <v>1.6696599999999999</v>
      </c>
    </row>
    <row r="44" spans="1:12" x14ac:dyDescent="0.25">
      <c r="A44" t="s">
        <v>18</v>
      </c>
    </row>
    <row r="45" spans="1:12" x14ac:dyDescent="0.25">
      <c r="A45" t="str">
        <f>A37</f>
        <v>Скалярный</v>
      </c>
      <c r="B45">
        <f t="shared" ref="B45:B50" si="7">C30/B30*100</f>
        <v>23.506866815713831</v>
      </c>
      <c r="D45" s="6">
        <f>D43/D37</f>
        <v>20.444444444444443</v>
      </c>
      <c r="E45" s="6">
        <f t="shared" ref="E45:L45" si="8">E43/E37</f>
        <v>9.9073001158748557</v>
      </c>
      <c r="F45" s="6">
        <f t="shared" si="8"/>
        <v>20.437037037037037</v>
      </c>
      <c r="G45" s="6">
        <f t="shared" si="8"/>
        <v>20.444444444444443</v>
      </c>
      <c r="H45" s="6">
        <f t="shared" si="8"/>
        <v>20.481481481481481</v>
      </c>
      <c r="I45" s="6">
        <f t="shared" si="8"/>
        <v>21.646428571428569</v>
      </c>
      <c r="J45" s="6">
        <f t="shared" si="8"/>
        <v>15.202674227041113</v>
      </c>
      <c r="K45" s="6">
        <f t="shared" si="8"/>
        <v>10.990802075861778</v>
      </c>
      <c r="L45" s="6">
        <f t="shared" si="8"/>
        <v>9.5342675392012417</v>
      </c>
    </row>
    <row r="46" spans="1:12" x14ac:dyDescent="0.25">
      <c r="A46" t="str">
        <f t="shared" ref="A46:A50" si="9">A38</f>
        <v>Наивный</v>
      </c>
      <c r="B46">
        <f t="shared" si="7"/>
        <v>11.508955485733424</v>
      </c>
      <c r="D46" s="6">
        <f>D43/D38</f>
        <v>1</v>
      </c>
      <c r="E46" s="6">
        <f t="shared" ref="E46:L46" si="10">E43/E38</f>
        <v>1</v>
      </c>
      <c r="F46" s="6">
        <f t="shared" si="10"/>
        <v>1</v>
      </c>
      <c r="G46" s="6">
        <f t="shared" si="10"/>
        <v>1</v>
      </c>
      <c r="H46" s="6">
        <f t="shared" si="10"/>
        <v>1</v>
      </c>
      <c r="I46" s="6">
        <f t="shared" si="10"/>
        <v>1</v>
      </c>
      <c r="J46" s="6">
        <f t="shared" si="10"/>
        <v>1</v>
      </c>
      <c r="K46" s="6">
        <f t="shared" si="10"/>
        <v>1</v>
      </c>
      <c r="L46" s="6">
        <f t="shared" si="10"/>
        <v>1</v>
      </c>
    </row>
    <row r="47" spans="1:12" x14ac:dyDescent="0.25">
      <c r="A47" t="str">
        <f t="shared" si="9"/>
        <v>Скалярный опт.</v>
      </c>
      <c r="B47">
        <f t="shared" si="7"/>
        <v>19.167217448777262</v>
      </c>
      <c r="D47" s="6">
        <f>D43/D39</f>
        <v>21.23076923076923</v>
      </c>
      <c r="E47" s="6">
        <f t="shared" ref="E47:L47" si="11">E43/E39</f>
        <v>10.178571428571429</v>
      </c>
      <c r="F47" s="6">
        <f t="shared" si="11"/>
        <v>21.223076923076924</v>
      </c>
      <c r="G47" s="6">
        <f t="shared" si="11"/>
        <v>21.23076923076923</v>
      </c>
      <c r="H47" s="6">
        <f t="shared" si="11"/>
        <v>21.108481563478129</v>
      </c>
      <c r="I47" s="6">
        <f t="shared" si="11"/>
        <v>21.960144927536227</v>
      </c>
      <c r="J47" s="6">
        <f t="shared" si="11"/>
        <v>16.329423868312759</v>
      </c>
      <c r="K47" s="6">
        <f t="shared" si="11"/>
        <v>14.885314285714283</v>
      </c>
      <c r="L47" s="6">
        <f t="shared" si="11"/>
        <v>9.540914285714285</v>
      </c>
    </row>
    <row r="48" spans="1:12" x14ac:dyDescent="0.25">
      <c r="A48" t="str">
        <f t="shared" si="9"/>
        <v>SSE</v>
      </c>
      <c r="B48">
        <f t="shared" si="7"/>
        <v>24.095840867992766</v>
      </c>
      <c r="D48" s="6">
        <f>D43/D40</f>
        <v>16.526946107784433</v>
      </c>
      <c r="E48" s="6">
        <f t="shared" ref="E48:L48" si="12">E43/E40</f>
        <v>7.5530035335689059</v>
      </c>
      <c r="F48" s="6">
        <f t="shared" si="12"/>
        <v>16.491332934847581</v>
      </c>
      <c r="G48" s="6">
        <f t="shared" si="12"/>
        <v>16.235294117647058</v>
      </c>
      <c r="H48" s="6">
        <f t="shared" si="12"/>
        <v>15.890804597701148</v>
      </c>
      <c r="I48" s="6">
        <f t="shared" si="12"/>
        <v>14.569711538461537</v>
      </c>
      <c r="J48" s="6">
        <f t="shared" si="12"/>
        <v>10.045187585438713</v>
      </c>
      <c r="K48" s="6">
        <f t="shared" si="12"/>
        <v>9.0596807289674111</v>
      </c>
      <c r="L48" s="6">
        <f t="shared" si="12"/>
        <v>7.3950748516254752</v>
      </c>
    </row>
    <row r="49" spans="1:12" x14ac:dyDescent="0.25">
      <c r="A49" t="str">
        <f t="shared" si="9"/>
        <v>SSE 2</v>
      </c>
      <c r="B49">
        <f>C34/B34*100</f>
        <v>24.096385542168676</v>
      </c>
      <c r="D49" s="6">
        <f>D43/D41</f>
        <v>27.6</v>
      </c>
      <c r="E49" s="6">
        <f t="shared" ref="E49:L49" si="13">E43/E41</f>
        <v>9.5105672969966637</v>
      </c>
      <c r="F49" s="6">
        <f t="shared" si="13"/>
        <v>27.590000000000003</v>
      </c>
      <c r="G49" s="6">
        <f t="shared" si="13"/>
        <v>27.6</v>
      </c>
      <c r="H49" s="6">
        <f t="shared" si="13"/>
        <v>27.376237623762375</v>
      </c>
      <c r="I49" s="6">
        <f t="shared" si="13"/>
        <v>26.583333333333336</v>
      </c>
      <c r="J49" s="6">
        <f t="shared" si="13"/>
        <v>17.556189717724095</v>
      </c>
      <c r="K49" s="6">
        <f t="shared" si="13"/>
        <v>14.883613301336988</v>
      </c>
      <c r="L49" s="6">
        <f t="shared" si="13"/>
        <v>8.7508385744234793</v>
      </c>
    </row>
    <row r="50" spans="1:12" x14ac:dyDescent="0.25">
      <c r="A50" t="str">
        <f t="shared" si="9"/>
        <v>AVX</v>
      </c>
      <c r="B50">
        <f t="shared" si="7"/>
        <v>20.917678812415655</v>
      </c>
      <c r="D50" s="6">
        <f>D43/D42</f>
        <v>46</v>
      </c>
      <c r="E50" s="6">
        <f t="shared" ref="E50:L50" si="14">E43/E42</f>
        <v>12.05923836389281</v>
      </c>
      <c r="F50" s="6">
        <f t="shared" si="14"/>
        <v>45.983333333333341</v>
      </c>
      <c r="G50" s="6">
        <f t="shared" si="14"/>
        <v>45.245901639344268</v>
      </c>
      <c r="H50" s="6">
        <f t="shared" si="14"/>
        <v>44.596774193548391</v>
      </c>
      <c r="I50" s="6">
        <f t="shared" si="14"/>
        <v>42.683098591549289</v>
      </c>
      <c r="J50" s="6">
        <f t="shared" si="14"/>
        <v>27.555902777777778</v>
      </c>
      <c r="K50" s="6">
        <f t="shared" si="14"/>
        <v>24.231906976744185</v>
      </c>
      <c r="L50" s="6">
        <f t="shared" si="14"/>
        <v>10.985761659122014</v>
      </c>
    </row>
  </sheetData>
  <conditionalFormatting sqref="B37:B42">
    <cfRule type="colorScale" priority="2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1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1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1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1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1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1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B45:B50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45:L50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E45:E50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5:J5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5:K50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5:L50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5:I50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340D3-E5BB-416F-A501-DCCA714B4B72}">
  <dimension ref="A1:L42"/>
  <sheetViews>
    <sheetView topLeftCell="A10" workbookViewId="0">
      <selection activeCell="M37" sqref="M37:M42"/>
    </sheetView>
  </sheetViews>
  <sheetFormatPr defaultRowHeight="15" x14ac:dyDescent="0.25"/>
  <cols>
    <col min="1" max="1" width="12.85546875" bestFit="1" customWidth="1"/>
    <col min="2" max="9" width="11.140625" bestFit="1" customWidth="1"/>
    <col min="10" max="12" width="12.140625" bestFit="1" customWidth="1"/>
  </cols>
  <sheetData>
    <row r="1" spans="1:12" x14ac:dyDescent="0.25">
      <c r="A1" s="1" t="s">
        <v>19</v>
      </c>
      <c r="B1" s="1" t="s">
        <v>20</v>
      </c>
      <c r="C1" s="1" t="s">
        <v>21</v>
      </c>
      <c r="D1" s="1" t="s">
        <v>22</v>
      </c>
      <c r="E1" s="1" t="s">
        <v>23</v>
      </c>
      <c r="F1" s="1" t="s">
        <v>24</v>
      </c>
      <c r="G1" s="1" t="s">
        <v>25</v>
      </c>
      <c r="H1" s="1" t="s">
        <v>26</v>
      </c>
      <c r="I1" s="1" t="s">
        <v>27</v>
      </c>
      <c r="J1" s="1" t="s">
        <v>28</v>
      </c>
      <c r="K1" s="1" t="s">
        <v>29</v>
      </c>
      <c r="L1" s="1" t="s">
        <v>30</v>
      </c>
    </row>
    <row r="2" spans="1:12" x14ac:dyDescent="0.25">
      <c r="A2" s="1" t="s">
        <v>0</v>
      </c>
      <c r="B2" s="4">
        <v>3.5779999999999999E-2</v>
      </c>
      <c r="C2" s="4">
        <v>9.3699999999999999E-3</v>
      </c>
      <c r="D2" s="4">
        <v>3.1E-2</v>
      </c>
      <c r="E2" s="4">
        <v>0.28100000000000003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6.3E-2</v>
      </c>
      <c r="K2" s="4">
        <v>0.158</v>
      </c>
      <c r="L2" s="4">
        <v>0.27650000000000002</v>
      </c>
    </row>
    <row r="3" spans="1:12" x14ac:dyDescent="0.25">
      <c r="A3" s="1" t="s">
        <v>31</v>
      </c>
      <c r="B3" s="4">
        <v>0.61297999999999997</v>
      </c>
      <c r="C3" s="4">
        <v>7.102E-2</v>
      </c>
      <c r="D3" s="4">
        <v>0.55500000000000005</v>
      </c>
      <c r="E3" s="4">
        <v>1.292</v>
      </c>
      <c r="F3" s="4">
        <v>0.55500000000000005</v>
      </c>
      <c r="G3" s="4">
        <v>0.55600000000000005</v>
      </c>
      <c r="H3" s="4">
        <v>0.55600000000000005</v>
      </c>
      <c r="I3" s="4">
        <v>0.58199999999999996</v>
      </c>
      <c r="J3" s="4">
        <v>0.88600000000000001</v>
      </c>
      <c r="K3" s="4">
        <v>1.03901</v>
      </c>
      <c r="L3" s="4">
        <v>1.2859</v>
      </c>
    </row>
    <row r="4" spans="1:12" x14ac:dyDescent="0.25">
      <c r="A4" s="1" t="s">
        <v>1</v>
      </c>
      <c r="B4" s="4">
        <v>3.4709999999999998E-2</v>
      </c>
      <c r="C4" s="4">
        <v>6.4400000000000004E-3</v>
      </c>
      <c r="D4" s="4">
        <v>0.03</v>
      </c>
      <c r="E4" s="4">
        <v>0.17199999999999999</v>
      </c>
      <c r="F4" s="4">
        <v>0.03</v>
      </c>
      <c r="G4" s="4">
        <v>0.03</v>
      </c>
      <c r="H4" s="4">
        <v>3.1E-2</v>
      </c>
      <c r="I4" s="4">
        <v>3.2000000000000001E-2</v>
      </c>
      <c r="J4" s="4">
        <v>5.8000000000000003E-2</v>
      </c>
      <c r="K4" s="4">
        <v>0.08</v>
      </c>
      <c r="L4" s="4">
        <v>0.17199999999999999</v>
      </c>
    </row>
    <row r="5" spans="1:12" x14ac:dyDescent="0.25">
      <c r="A5" s="1" t="s">
        <v>2</v>
      </c>
      <c r="B5" s="4">
        <v>4.8489999999999998E-2</v>
      </c>
      <c r="C5" s="4">
        <v>1.1950000000000001E-2</v>
      </c>
      <c r="D5" s="4">
        <v>3.7999999999999999E-2</v>
      </c>
      <c r="E5" s="4">
        <v>0.20799999999999999</v>
      </c>
      <c r="F5" s="4">
        <v>3.7999999999999999E-2</v>
      </c>
      <c r="G5" s="4">
        <v>3.7999999999999999E-2</v>
      </c>
      <c r="H5" s="4">
        <v>3.9E-2</v>
      </c>
      <c r="I5" s="4">
        <v>4.3999999999999997E-2</v>
      </c>
      <c r="J5" s="4">
        <v>8.6999999999999994E-2</v>
      </c>
      <c r="K5" s="4">
        <v>0.17199999999999999</v>
      </c>
      <c r="L5" s="4">
        <v>0.2077</v>
      </c>
    </row>
    <row r="6" spans="1:12" x14ac:dyDescent="0.25">
      <c r="A6" s="1" t="s">
        <v>3</v>
      </c>
      <c r="B6" s="4">
        <v>2.9690000000000001E-2</v>
      </c>
      <c r="C6" s="4">
        <v>6.2100000000000002E-3</v>
      </c>
      <c r="D6" s="4">
        <v>2.4E-2</v>
      </c>
      <c r="E6" s="4">
        <v>0.16400000000000001</v>
      </c>
      <c r="F6" s="4">
        <v>2.4E-2</v>
      </c>
      <c r="G6" s="4">
        <v>2.4E-2</v>
      </c>
      <c r="H6" s="4">
        <v>2.5000000000000001E-2</v>
      </c>
      <c r="I6" s="4">
        <v>2.8000000000000001E-2</v>
      </c>
      <c r="J6" s="4">
        <v>5.1999999999999998E-2</v>
      </c>
      <c r="K6" s="4">
        <v>0.10101</v>
      </c>
      <c r="L6" s="4">
        <v>0.1638</v>
      </c>
    </row>
    <row r="7" spans="1:12" x14ac:dyDescent="0.25">
      <c r="A7" s="1" t="s">
        <v>4</v>
      </c>
      <c r="B7" s="4">
        <v>1.9310000000000001E-2</v>
      </c>
      <c r="C7" s="4">
        <v>5.3099999999999996E-3</v>
      </c>
      <c r="D7" s="4">
        <v>1.6E-2</v>
      </c>
      <c r="E7" s="4">
        <v>0.30499999999999999</v>
      </c>
      <c r="F7" s="4">
        <v>1.6E-2</v>
      </c>
      <c r="G7" s="4">
        <v>1.7000000000000001E-2</v>
      </c>
      <c r="H7" s="4">
        <v>1.7000000000000001E-2</v>
      </c>
      <c r="I7" s="4">
        <v>1.7999999999999999E-2</v>
      </c>
      <c r="J7" s="4">
        <v>3.5999999999999997E-2</v>
      </c>
      <c r="K7" s="4">
        <v>7.1999999999999995E-2</v>
      </c>
      <c r="L7" s="4">
        <v>0.28939999999999999</v>
      </c>
    </row>
    <row r="8" spans="1:12" x14ac:dyDescent="0.25">
      <c r="A8" s="1" t="s">
        <v>32</v>
      </c>
      <c r="B8" s="4" t="s">
        <v>5</v>
      </c>
      <c r="C8" s="4" t="s">
        <v>5</v>
      </c>
      <c r="D8" s="4" t="s">
        <v>5</v>
      </c>
      <c r="E8" s="4" t="s">
        <v>5</v>
      </c>
      <c r="F8" s="4" t="s">
        <v>5</v>
      </c>
      <c r="G8" s="4" t="s">
        <v>5</v>
      </c>
      <c r="H8" s="4" t="s">
        <v>5</v>
      </c>
      <c r="I8" s="4" t="s">
        <v>5</v>
      </c>
      <c r="J8" s="4" t="s">
        <v>5</v>
      </c>
      <c r="K8" s="4" t="s">
        <v>5</v>
      </c>
      <c r="L8" s="4" t="s">
        <v>5</v>
      </c>
    </row>
    <row r="9" spans="1:12" x14ac:dyDescent="0.25">
      <c r="A9" s="1" t="s">
        <v>0</v>
      </c>
      <c r="B9" s="4">
        <v>3.5680000000000003E-2</v>
      </c>
      <c r="C9" s="4">
        <v>6.8199999999999997E-3</v>
      </c>
      <c r="D9" s="4">
        <v>3.1E-2</v>
      </c>
      <c r="E9" s="4">
        <v>0.183</v>
      </c>
      <c r="F9" s="4">
        <v>3.1E-2</v>
      </c>
      <c r="G9" s="4">
        <v>3.1E-2</v>
      </c>
      <c r="H9" s="4">
        <v>3.1E-2</v>
      </c>
      <c r="I9" s="4">
        <v>3.3000000000000002E-2</v>
      </c>
      <c r="J9" s="4">
        <v>5.6000000000000001E-2</v>
      </c>
      <c r="K9" s="4">
        <v>9.7000000000000003E-2</v>
      </c>
      <c r="L9" s="4">
        <v>0.1827</v>
      </c>
    </row>
    <row r="10" spans="1:12" x14ac:dyDescent="0.25">
      <c r="A10" s="1" t="s">
        <v>31</v>
      </c>
      <c r="B10" s="4">
        <v>0.62548999999999999</v>
      </c>
      <c r="C10" s="4">
        <v>7.0980000000000001E-2</v>
      </c>
      <c r="D10" s="4">
        <v>0.55500000000000005</v>
      </c>
      <c r="E10" s="4">
        <v>1.3</v>
      </c>
      <c r="F10" s="4">
        <v>0.55500000000000005</v>
      </c>
      <c r="G10" s="4">
        <v>0.55600000000000005</v>
      </c>
      <c r="H10" s="4">
        <v>0.55700000000000005</v>
      </c>
      <c r="I10" s="4">
        <v>0.60099999999999998</v>
      </c>
      <c r="J10" s="4">
        <v>0.86399999999999999</v>
      </c>
      <c r="K10" s="4">
        <v>1.002</v>
      </c>
      <c r="L10" s="4">
        <v>1.29</v>
      </c>
    </row>
    <row r="11" spans="1:12" x14ac:dyDescent="0.25">
      <c r="A11" s="1" t="s">
        <v>1</v>
      </c>
      <c r="B11" s="4">
        <v>3.4709999999999998E-2</v>
      </c>
      <c r="C11" s="4">
        <v>6.9699999999999996E-3</v>
      </c>
      <c r="D11" s="4">
        <v>0.03</v>
      </c>
      <c r="E11" s="4">
        <v>0.185</v>
      </c>
      <c r="F11" s="4">
        <v>0.03</v>
      </c>
      <c r="G11" s="4">
        <v>0.03</v>
      </c>
      <c r="H11" s="4">
        <v>0.03</v>
      </c>
      <c r="I11" s="4">
        <v>3.2000000000000001E-2</v>
      </c>
      <c r="J11" s="4">
        <v>0.06</v>
      </c>
      <c r="K11" s="4">
        <v>0.08</v>
      </c>
      <c r="L11" s="4">
        <v>0.18410000000000001</v>
      </c>
    </row>
    <row r="12" spans="1:12" x14ac:dyDescent="0.25">
      <c r="A12" s="1" t="s">
        <v>2</v>
      </c>
      <c r="B12" s="4">
        <v>4.9790000000000001E-2</v>
      </c>
      <c r="C12" s="4">
        <v>1.325E-2</v>
      </c>
      <c r="D12" s="4">
        <v>3.7999999999999999E-2</v>
      </c>
      <c r="E12" s="4">
        <v>0.36799999999999999</v>
      </c>
      <c r="F12" s="4">
        <v>3.7999999999999999E-2</v>
      </c>
      <c r="G12" s="4">
        <v>3.7999999999999999E-2</v>
      </c>
      <c r="H12" s="4">
        <v>3.9E-2</v>
      </c>
      <c r="I12" s="4">
        <v>4.7E-2</v>
      </c>
      <c r="J12" s="4">
        <v>9.0999999999999998E-2</v>
      </c>
      <c r="K12" s="4">
        <v>0.189</v>
      </c>
      <c r="L12" s="4">
        <v>0.35549999999999998</v>
      </c>
    </row>
    <row r="13" spans="1:12" x14ac:dyDescent="0.25">
      <c r="A13" s="1" t="s">
        <v>3</v>
      </c>
      <c r="B13" s="4">
        <v>3.0159999999999999E-2</v>
      </c>
      <c r="C13" s="4">
        <v>7.3800000000000003E-3</v>
      </c>
      <c r="D13" s="4">
        <v>2.4E-2</v>
      </c>
      <c r="E13" s="4">
        <v>0.18099999999999999</v>
      </c>
      <c r="F13" s="4">
        <v>2.4E-2</v>
      </c>
      <c r="G13" s="4">
        <v>2.4E-2</v>
      </c>
      <c r="H13" s="4">
        <v>2.5000000000000001E-2</v>
      </c>
      <c r="I13" s="4">
        <v>2.8000000000000001E-2</v>
      </c>
      <c r="J13" s="4">
        <v>5.5E-2</v>
      </c>
      <c r="K13" s="4">
        <v>0.12503</v>
      </c>
      <c r="L13" s="4">
        <v>0.1804</v>
      </c>
    </row>
    <row r="14" spans="1:12" x14ac:dyDescent="0.25">
      <c r="A14" s="1" t="s">
        <v>4</v>
      </c>
      <c r="B14" s="4">
        <v>1.9429999999999999E-2</v>
      </c>
      <c r="C14" s="4">
        <v>4.8700000000000002E-3</v>
      </c>
      <c r="D14" s="4">
        <v>1.6E-2</v>
      </c>
      <c r="E14" s="4">
        <v>0.16500000000000001</v>
      </c>
      <c r="F14" s="4">
        <v>1.6E-2</v>
      </c>
      <c r="G14" s="4">
        <v>1.6E-2</v>
      </c>
      <c r="H14" s="4">
        <v>1.7000000000000001E-2</v>
      </c>
      <c r="I14" s="4">
        <v>1.7999999999999999E-2</v>
      </c>
      <c r="J14" s="4">
        <v>3.5999999999999997E-2</v>
      </c>
      <c r="K14" s="4">
        <v>6.4009999999999997E-2</v>
      </c>
      <c r="L14" s="4">
        <v>0.1638</v>
      </c>
    </row>
    <row r="15" spans="1:12" x14ac:dyDescent="0.25">
      <c r="A15" s="1" t="s">
        <v>32</v>
      </c>
      <c r="B15" s="4" t="s">
        <v>5</v>
      </c>
      <c r="C15" s="4" t="s">
        <v>5</v>
      </c>
      <c r="D15" s="4" t="s">
        <v>5</v>
      </c>
      <c r="E15" s="4" t="s">
        <v>5</v>
      </c>
      <c r="F15" s="4" t="s">
        <v>5</v>
      </c>
      <c r="G15" s="4" t="s">
        <v>5</v>
      </c>
      <c r="H15" s="4" t="s">
        <v>5</v>
      </c>
      <c r="I15" s="4" t="s">
        <v>5</v>
      </c>
      <c r="J15" s="4" t="s">
        <v>5</v>
      </c>
      <c r="K15" s="4" t="s">
        <v>5</v>
      </c>
      <c r="L15" s="4" t="s">
        <v>5</v>
      </c>
    </row>
    <row r="16" spans="1:12" x14ac:dyDescent="0.25">
      <c r="A16" s="1" t="s">
        <v>0</v>
      </c>
      <c r="B16" s="4">
        <v>3.5150000000000001E-2</v>
      </c>
      <c r="C16" s="4">
        <v>7.6499999999999997E-3</v>
      </c>
      <c r="D16" s="4">
        <v>3.1E-2</v>
      </c>
      <c r="E16" s="4">
        <v>0.17899999999999999</v>
      </c>
      <c r="F16" s="4">
        <v>3.1E-2</v>
      </c>
      <c r="G16" s="4">
        <v>3.1E-2</v>
      </c>
      <c r="H16" s="4">
        <v>3.1E-2</v>
      </c>
      <c r="I16" s="4">
        <v>3.2000000000000001E-2</v>
      </c>
      <c r="J16" s="4">
        <v>5.8000000000000003E-2</v>
      </c>
      <c r="K16" s="4">
        <v>0.159</v>
      </c>
      <c r="L16" s="4">
        <v>0.17810000000000001</v>
      </c>
    </row>
    <row r="17" spans="1:12" x14ac:dyDescent="0.25">
      <c r="A17" s="1" t="s">
        <v>31</v>
      </c>
      <c r="B17" s="4">
        <v>0.61604000000000003</v>
      </c>
      <c r="C17" s="4">
        <v>6.3049999999999995E-2</v>
      </c>
      <c r="D17" s="4">
        <v>0.55500000000000005</v>
      </c>
      <c r="E17" s="4">
        <v>1.1100000000000001</v>
      </c>
      <c r="F17" s="4">
        <v>0.55500000000000005</v>
      </c>
      <c r="G17" s="4">
        <v>0.55600000000000005</v>
      </c>
      <c r="H17" s="4">
        <v>0.55600000000000005</v>
      </c>
      <c r="I17" s="4">
        <v>0.58599999999999997</v>
      </c>
      <c r="J17" s="4">
        <v>0.79701</v>
      </c>
      <c r="K17" s="4">
        <v>0.94699999999999995</v>
      </c>
      <c r="L17" s="4">
        <v>1.1080000000000001</v>
      </c>
    </row>
    <row r="18" spans="1:12" x14ac:dyDescent="0.25">
      <c r="A18" s="1" t="s">
        <v>1</v>
      </c>
      <c r="B18" s="4">
        <v>3.4889999999999997E-2</v>
      </c>
      <c r="C18" s="4">
        <v>6.3600000000000002E-3</v>
      </c>
      <c r="D18" s="4">
        <v>0.03</v>
      </c>
      <c r="E18" s="4">
        <v>0.16700000000000001</v>
      </c>
      <c r="F18" s="4">
        <v>0.03</v>
      </c>
      <c r="G18" s="4">
        <v>0.03</v>
      </c>
      <c r="H18" s="4">
        <v>0.03</v>
      </c>
      <c r="I18" s="4">
        <v>3.2000000000000001E-2</v>
      </c>
      <c r="J18" s="4">
        <v>5.8000000000000003E-2</v>
      </c>
      <c r="K18" s="4">
        <v>7.9000000000000001E-2</v>
      </c>
      <c r="L18" s="4">
        <v>0.1661</v>
      </c>
    </row>
    <row r="19" spans="1:12" x14ac:dyDescent="0.25">
      <c r="A19" s="1" t="s">
        <v>2</v>
      </c>
      <c r="B19" s="4">
        <v>4.879E-2</v>
      </c>
      <c r="C19" s="4">
        <v>1.2189999999999999E-2</v>
      </c>
      <c r="D19" s="4">
        <v>3.7999999999999999E-2</v>
      </c>
      <c r="E19" s="4">
        <v>0.439</v>
      </c>
      <c r="F19" s="4">
        <v>3.7999999999999999E-2</v>
      </c>
      <c r="G19" s="4">
        <v>3.7999999999999999E-2</v>
      </c>
      <c r="H19" s="4">
        <v>3.9E-2</v>
      </c>
      <c r="I19" s="4">
        <v>4.4999999999999998E-2</v>
      </c>
      <c r="J19" s="4">
        <v>8.5999999999999993E-2</v>
      </c>
      <c r="K19" s="4">
        <v>0.17</v>
      </c>
      <c r="L19" s="4">
        <v>0.4158</v>
      </c>
    </row>
    <row r="20" spans="1:12" x14ac:dyDescent="0.25">
      <c r="A20" s="1" t="s">
        <v>3</v>
      </c>
      <c r="B20" s="4">
        <v>2.971E-2</v>
      </c>
      <c r="C20" s="4">
        <v>7.0400000000000003E-3</v>
      </c>
      <c r="D20" s="4">
        <v>2.4E-2</v>
      </c>
      <c r="E20" s="4">
        <v>0.187</v>
      </c>
      <c r="F20" s="4">
        <v>2.4E-2</v>
      </c>
      <c r="G20" s="4">
        <v>2.4E-2</v>
      </c>
      <c r="H20" s="4">
        <v>2.5000000000000001E-2</v>
      </c>
      <c r="I20" s="4">
        <v>2.8000000000000001E-2</v>
      </c>
      <c r="J20" s="4">
        <v>5.2999999999999999E-2</v>
      </c>
      <c r="K20" s="4">
        <v>0.153</v>
      </c>
      <c r="L20" s="4">
        <v>0.18609999999999999</v>
      </c>
    </row>
    <row r="21" spans="1:12" x14ac:dyDescent="0.25">
      <c r="A21" s="1" t="s">
        <v>4</v>
      </c>
      <c r="B21" s="4">
        <v>1.925E-2</v>
      </c>
      <c r="C21" s="4">
        <v>4.5300000000000002E-3</v>
      </c>
      <c r="D21" s="4">
        <v>1.6E-2</v>
      </c>
      <c r="E21" s="4">
        <v>0.151</v>
      </c>
      <c r="F21" s="4">
        <v>1.6E-2</v>
      </c>
      <c r="G21" s="4">
        <v>1.6E-2</v>
      </c>
      <c r="H21" s="4">
        <v>1.7000000000000001E-2</v>
      </c>
      <c r="I21" s="4">
        <v>1.7999999999999999E-2</v>
      </c>
      <c r="J21" s="4">
        <v>3.5000000000000003E-2</v>
      </c>
      <c r="K21" s="4">
        <v>6.2E-2</v>
      </c>
      <c r="L21" s="4">
        <v>0.15079999999999999</v>
      </c>
    </row>
    <row r="22" spans="1:12" x14ac:dyDescent="0.25">
      <c r="A22" s="1" t="s">
        <v>32</v>
      </c>
      <c r="B22" s="4" t="s">
        <v>5</v>
      </c>
      <c r="C22" s="4" t="s">
        <v>5</v>
      </c>
      <c r="D22" s="4" t="s">
        <v>5</v>
      </c>
      <c r="E22" s="4" t="s">
        <v>5</v>
      </c>
      <c r="F22" s="4" t="s">
        <v>5</v>
      </c>
      <c r="G22" s="4" t="s">
        <v>5</v>
      </c>
      <c r="H22" s="4" t="s">
        <v>5</v>
      </c>
      <c r="I22" s="4" t="s">
        <v>5</v>
      </c>
      <c r="J22" s="4" t="s">
        <v>5</v>
      </c>
      <c r="K22" s="4" t="s">
        <v>5</v>
      </c>
      <c r="L22" s="4" t="s">
        <v>5</v>
      </c>
    </row>
    <row r="23" spans="1:12" x14ac:dyDescent="0.25">
      <c r="A23" s="1" t="s">
        <v>0</v>
      </c>
      <c r="B23" s="4">
        <v>3.5270000000000003E-2</v>
      </c>
      <c r="C23" s="4">
        <v>7.8600000000000007E-3</v>
      </c>
      <c r="D23" s="4">
        <v>3.1E-2</v>
      </c>
      <c r="E23" s="4">
        <v>0.186</v>
      </c>
      <c r="F23" s="4">
        <v>3.1E-2</v>
      </c>
      <c r="G23" s="4">
        <v>3.1E-2</v>
      </c>
      <c r="H23" s="4">
        <v>3.1E-2</v>
      </c>
      <c r="I23" s="4">
        <v>3.3000000000000002E-2</v>
      </c>
      <c r="J23" s="4">
        <v>5.8000000000000003E-2</v>
      </c>
      <c r="K23" s="4">
        <v>0.159</v>
      </c>
      <c r="L23" s="4">
        <v>0.18459999999999999</v>
      </c>
    </row>
    <row r="24" spans="1:12" x14ac:dyDescent="0.25">
      <c r="A24" s="1" t="s">
        <v>31</v>
      </c>
      <c r="B24" s="4">
        <v>0.61231000000000002</v>
      </c>
      <c r="C24" s="4">
        <v>6.1440000000000002E-2</v>
      </c>
      <c r="D24" s="4">
        <v>0.55500000000000005</v>
      </c>
      <c r="E24" s="4">
        <v>1.0529999999999999</v>
      </c>
      <c r="F24" s="4">
        <v>0.55500000000000005</v>
      </c>
      <c r="G24" s="4">
        <v>0.55600000000000005</v>
      </c>
      <c r="H24" s="4">
        <v>0.55600000000000005</v>
      </c>
      <c r="I24" s="4">
        <v>0.58499999999999996</v>
      </c>
      <c r="J24" s="4">
        <v>0.81901000000000002</v>
      </c>
      <c r="K24" s="4">
        <v>0.95699999999999996</v>
      </c>
      <c r="L24" s="4">
        <v>1.0510999999999999</v>
      </c>
    </row>
    <row r="25" spans="1:12" x14ac:dyDescent="0.25">
      <c r="A25" s="1" t="s">
        <v>1</v>
      </c>
      <c r="B25" s="4">
        <v>3.4509999999999999E-2</v>
      </c>
      <c r="C25" s="4">
        <v>7.3699999999999998E-3</v>
      </c>
      <c r="D25" s="4">
        <v>0.03</v>
      </c>
      <c r="E25" s="4">
        <v>0.17699999999999999</v>
      </c>
      <c r="F25" s="4">
        <v>0.03</v>
      </c>
      <c r="G25" s="4">
        <v>0.03</v>
      </c>
      <c r="H25" s="4">
        <v>3.1E-2</v>
      </c>
      <c r="I25" s="4">
        <v>3.2000000000000001E-2</v>
      </c>
      <c r="J25" s="4">
        <v>5.8999999999999997E-2</v>
      </c>
      <c r="K25" s="4">
        <v>0.158</v>
      </c>
      <c r="L25" s="4">
        <v>0.1769</v>
      </c>
    </row>
    <row r="26" spans="1:12" x14ac:dyDescent="0.25">
      <c r="A26" s="1" t="s">
        <v>2</v>
      </c>
      <c r="B26" s="4">
        <v>4.9390000000000003E-2</v>
      </c>
      <c r="C26" s="4">
        <v>1.2489999999999999E-2</v>
      </c>
      <c r="D26" s="4">
        <v>3.7999999999999999E-2</v>
      </c>
      <c r="E26" s="4">
        <v>0.36899999999999999</v>
      </c>
      <c r="F26" s="4">
        <v>3.7999999999999999E-2</v>
      </c>
      <c r="G26" s="4">
        <v>3.7999999999999999E-2</v>
      </c>
      <c r="H26" s="4">
        <v>3.9E-2</v>
      </c>
      <c r="I26" s="4">
        <v>4.5999999999999999E-2</v>
      </c>
      <c r="J26" s="4">
        <v>8.7999999999999995E-2</v>
      </c>
      <c r="K26" s="4">
        <v>0.17199999999999999</v>
      </c>
      <c r="L26" s="4">
        <v>0.3528</v>
      </c>
    </row>
    <row r="27" spans="1:12" x14ac:dyDescent="0.25">
      <c r="A27" s="1" t="s">
        <v>3</v>
      </c>
      <c r="B27" s="4">
        <v>2.9770000000000001E-2</v>
      </c>
      <c r="C27" s="4">
        <v>6.94E-3</v>
      </c>
      <c r="D27" s="4">
        <v>2.4E-2</v>
      </c>
      <c r="E27" s="4">
        <v>0.16800000000000001</v>
      </c>
      <c r="F27" s="4">
        <v>2.4E-2</v>
      </c>
      <c r="G27" s="4">
        <v>2.4E-2</v>
      </c>
      <c r="H27" s="4">
        <v>2.5000000000000001E-2</v>
      </c>
      <c r="I27" s="4">
        <v>2.8000000000000001E-2</v>
      </c>
      <c r="J27" s="4">
        <v>5.2999999999999999E-2</v>
      </c>
      <c r="K27" s="4">
        <v>0.15</v>
      </c>
      <c r="L27" s="4">
        <v>0.1678</v>
      </c>
    </row>
    <row r="28" spans="1:12" x14ac:dyDescent="0.25">
      <c r="A28" s="1" t="s">
        <v>4</v>
      </c>
      <c r="B28" s="4">
        <v>1.9449999999999999E-2</v>
      </c>
      <c r="C28" s="4">
        <v>5.0600000000000003E-3</v>
      </c>
      <c r="D28" s="4">
        <v>1.6E-2</v>
      </c>
      <c r="E28" s="4">
        <v>0.154</v>
      </c>
      <c r="F28" s="4">
        <v>1.6E-2</v>
      </c>
      <c r="G28" s="4">
        <v>1.6E-2</v>
      </c>
      <c r="H28" s="4">
        <v>1.7000000000000001E-2</v>
      </c>
      <c r="I28" s="4">
        <v>1.7999999999999999E-2</v>
      </c>
      <c r="J28" s="4">
        <v>3.5999999999999997E-2</v>
      </c>
      <c r="K28" s="4">
        <v>7.0010000000000003E-2</v>
      </c>
      <c r="L28" s="4">
        <v>0.15379999999999999</v>
      </c>
    </row>
    <row r="29" spans="1:12" x14ac:dyDescent="0.25">
      <c r="A29" s="1" t="s">
        <v>32</v>
      </c>
      <c r="B29" s="4" t="s">
        <v>5</v>
      </c>
      <c r="C29" s="4" t="s">
        <v>5</v>
      </c>
      <c r="D29" s="4" t="s">
        <v>5</v>
      </c>
      <c r="E29" s="4" t="s">
        <v>5</v>
      </c>
      <c r="F29" s="4" t="s">
        <v>5</v>
      </c>
      <c r="G29" s="4" t="s">
        <v>5</v>
      </c>
      <c r="H29" s="4" t="s">
        <v>5</v>
      </c>
      <c r="I29" s="4" t="s">
        <v>5</v>
      </c>
      <c r="J29" s="4" t="s">
        <v>5</v>
      </c>
      <c r="K29" s="4" t="s">
        <v>5</v>
      </c>
      <c r="L29" s="4" t="s">
        <v>5</v>
      </c>
    </row>
    <row r="30" spans="1:12" x14ac:dyDescent="0.25">
      <c r="A30" s="1" t="s">
        <v>0</v>
      </c>
      <c r="B30" s="4">
        <v>3.5740000000000001E-2</v>
      </c>
      <c r="C30" s="4">
        <v>7.79E-3</v>
      </c>
      <c r="D30" s="4">
        <v>3.1E-2</v>
      </c>
      <c r="E30" s="4">
        <v>0.32500000000000001</v>
      </c>
      <c r="F30" s="4">
        <v>3.1E-2</v>
      </c>
      <c r="G30" s="4">
        <v>3.1E-2</v>
      </c>
      <c r="H30" s="4">
        <v>3.1E-2</v>
      </c>
      <c r="I30" s="4">
        <v>3.3000000000000002E-2</v>
      </c>
      <c r="J30" s="4">
        <v>5.8000000000000003E-2</v>
      </c>
      <c r="K30" s="4">
        <v>0.158</v>
      </c>
      <c r="L30" s="4">
        <v>0.31219999999999998</v>
      </c>
    </row>
    <row r="31" spans="1:12" x14ac:dyDescent="0.25">
      <c r="A31" s="1" t="s">
        <v>31</v>
      </c>
      <c r="B31" s="4">
        <v>0.61956</v>
      </c>
      <c r="C31" s="4">
        <v>6.5000000000000002E-2</v>
      </c>
      <c r="D31" s="4">
        <v>0.55500000000000005</v>
      </c>
      <c r="E31" s="4">
        <v>1.2490000000000001</v>
      </c>
      <c r="F31" s="4">
        <v>0.55500000000000005</v>
      </c>
      <c r="G31" s="4">
        <v>0.55600000000000005</v>
      </c>
      <c r="H31" s="4">
        <v>0.55600000000000005</v>
      </c>
      <c r="I31" s="4">
        <v>0.59099999999999997</v>
      </c>
      <c r="J31" s="4">
        <v>0.81399999999999995</v>
      </c>
      <c r="K31" s="4">
        <v>0.96101000000000003</v>
      </c>
      <c r="L31" s="4">
        <v>1.2303999999999999</v>
      </c>
    </row>
    <row r="32" spans="1:12" x14ac:dyDescent="0.25">
      <c r="A32" s="1" t="s">
        <v>1</v>
      </c>
      <c r="B32" s="4">
        <v>3.5139999999999998E-2</v>
      </c>
      <c r="C32" s="4">
        <v>8.0999999999999996E-3</v>
      </c>
      <c r="D32" s="4">
        <v>0.03</v>
      </c>
      <c r="E32" s="4">
        <v>0.36599999999999999</v>
      </c>
      <c r="F32" s="4">
        <v>0.03</v>
      </c>
      <c r="G32" s="4">
        <v>0.03</v>
      </c>
      <c r="H32" s="4">
        <v>3.1E-2</v>
      </c>
      <c r="I32" s="4">
        <v>3.2000000000000001E-2</v>
      </c>
      <c r="J32" s="4">
        <v>5.8999999999999997E-2</v>
      </c>
      <c r="K32" s="4">
        <v>0.157</v>
      </c>
      <c r="L32" s="4">
        <v>0.34820000000000001</v>
      </c>
    </row>
    <row r="33" spans="1:12" x14ac:dyDescent="0.25">
      <c r="A33" s="1" t="s">
        <v>2</v>
      </c>
      <c r="B33" s="4">
        <v>4.947E-2</v>
      </c>
      <c r="C33" s="4">
        <v>1.1900000000000001E-2</v>
      </c>
      <c r="D33" s="4">
        <v>3.7999999999999999E-2</v>
      </c>
      <c r="E33" s="4">
        <v>0.21099999999999999</v>
      </c>
      <c r="F33" s="4">
        <v>3.7999999999999999E-2</v>
      </c>
      <c r="G33" s="4">
        <v>3.7999999999999999E-2</v>
      </c>
      <c r="H33" s="4">
        <v>3.9E-2</v>
      </c>
      <c r="I33" s="4">
        <v>4.7E-2</v>
      </c>
      <c r="J33" s="4">
        <v>8.7999999999999995E-2</v>
      </c>
      <c r="K33" s="4">
        <v>0.17399999999999999</v>
      </c>
      <c r="L33" s="4">
        <v>0.20910000000000001</v>
      </c>
    </row>
    <row r="34" spans="1:12" x14ac:dyDescent="0.25">
      <c r="A34" s="1" t="s">
        <v>3</v>
      </c>
      <c r="B34" s="4">
        <v>3.0040000000000001E-2</v>
      </c>
      <c r="C34" s="4">
        <v>5.5199999999999997E-3</v>
      </c>
      <c r="D34" s="4">
        <v>2.4E-2</v>
      </c>
      <c r="E34" s="4">
        <v>0.152</v>
      </c>
      <c r="F34" s="4">
        <v>2.4E-2</v>
      </c>
      <c r="G34" s="4">
        <v>2.4E-2</v>
      </c>
      <c r="H34" s="4">
        <v>2.5000000000000001E-2</v>
      </c>
      <c r="I34" s="4">
        <v>2.8000000000000001E-2</v>
      </c>
      <c r="J34" s="4">
        <v>5.2999999999999999E-2</v>
      </c>
      <c r="K34" s="4">
        <v>7.4010000000000006E-2</v>
      </c>
      <c r="L34" s="4">
        <v>0.14879999999999999</v>
      </c>
    </row>
    <row r="35" spans="1:12" x14ac:dyDescent="0.25">
      <c r="A35" s="1" t="s">
        <v>4</v>
      </c>
      <c r="B35" s="4">
        <v>1.967E-2</v>
      </c>
      <c r="C35" s="4">
        <v>4.4900000000000001E-3</v>
      </c>
      <c r="D35" s="4">
        <v>1.6E-2</v>
      </c>
      <c r="E35" s="4">
        <v>0.182</v>
      </c>
      <c r="F35" s="4">
        <v>1.6E-2</v>
      </c>
      <c r="G35" s="4">
        <v>1.7000000000000001E-2</v>
      </c>
      <c r="H35" s="4">
        <v>1.7000000000000001E-2</v>
      </c>
      <c r="I35" s="4">
        <v>1.9E-2</v>
      </c>
      <c r="J35" s="4">
        <v>3.5999999999999997E-2</v>
      </c>
      <c r="K35" s="4">
        <v>5.8999999999999997E-2</v>
      </c>
      <c r="L35" s="4">
        <v>0.17910000000000001</v>
      </c>
    </row>
    <row r="37" spans="1:12" x14ac:dyDescent="0.25">
      <c r="A37" t="str">
        <f>A2</f>
        <v xml:space="preserve">normal          </v>
      </c>
      <c r="B37">
        <f>AVERAGE(B2,B9,B16,B23,B30)</f>
        <v>3.5524E-2</v>
      </c>
      <c r="C37">
        <f t="shared" ref="C37:L37" si="0">AVERAGE(C2,C9,C16,C23,C30)</f>
        <v>7.8979999999999988E-3</v>
      </c>
      <c r="D37">
        <f t="shared" si="0"/>
        <v>3.1E-2</v>
      </c>
      <c r="E37">
        <f t="shared" si="0"/>
        <v>0.23079999999999998</v>
      </c>
      <c r="F37">
        <f t="shared" si="0"/>
        <v>3.1E-2</v>
      </c>
      <c r="G37">
        <f t="shared" si="0"/>
        <v>3.1E-2</v>
      </c>
      <c r="H37">
        <f t="shared" si="0"/>
        <v>3.1199999999999999E-2</v>
      </c>
      <c r="I37">
        <f t="shared" si="0"/>
        <v>3.2800000000000003E-2</v>
      </c>
      <c r="J37">
        <f t="shared" si="0"/>
        <v>5.8599999999999999E-2</v>
      </c>
      <c r="K37">
        <f t="shared" si="0"/>
        <v>0.14620000000000002</v>
      </c>
      <c r="L37">
        <f t="shared" si="0"/>
        <v>0.22682000000000002</v>
      </c>
    </row>
    <row r="38" spans="1:12" x14ac:dyDescent="0.25">
      <c r="A38" t="str">
        <f t="shared" ref="A38:A42" si="1">A3</f>
        <v xml:space="preserve">v lob           </v>
      </c>
      <c r="B38">
        <f t="shared" ref="B38:L42" si="2">AVERAGE(B3,B10,B17,B24,B31)</f>
        <v>0.61727599999999994</v>
      </c>
      <c r="C38">
        <f t="shared" si="2"/>
        <v>6.6297999999999996E-2</v>
      </c>
      <c r="D38">
        <f t="shared" si="2"/>
        <v>0.55500000000000005</v>
      </c>
      <c r="E38">
        <f t="shared" si="2"/>
        <v>1.2007999999999999</v>
      </c>
      <c r="F38">
        <f t="shared" si="2"/>
        <v>0.55500000000000005</v>
      </c>
      <c r="G38">
        <f t="shared" si="2"/>
        <v>0.55600000000000005</v>
      </c>
      <c r="H38">
        <f t="shared" si="2"/>
        <v>0.55620000000000003</v>
      </c>
      <c r="I38">
        <f t="shared" si="2"/>
        <v>0.58899999999999986</v>
      </c>
      <c r="J38">
        <f t="shared" si="2"/>
        <v>0.83600399999999997</v>
      </c>
      <c r="K38">
        <f t="shared" si="2"/>
        <v>0.98120399999999997</v>
      </c>
      <c r="L38">
        <f t="shared" si="2"/>
        <v>1.1930799999999997</v>
      </c>
    </row>
    <row r="39" spans="1:12" x14ac:dyDescent="0.25">
      <c r="A39" t="str">
        <f t="shared" si="1"/>
        <v xml:space="preserve">iter            </v>
      </c>
      <c r="B39">
        <f t="shared" si="2"/>
        <v>3.4792000000000003E-2</v>
      </c>
      <c r="C39">
        <f t="shared" si="2"/>
        <v>7.0479999999999987E-3</v>
      </c>
      <c r="D39">
        <f t="shared" si="2"/>
        <v>0.03</v>
      </c>
      <c r="E39">
        <f t="shared" si="2"/>
        <v>0.21340000000000003</v>
      </c>
      <c r="F39">
        <f t="shared" si="2"/>
        <v>0.03</v>
      </c>
      <c r="G39">
        <f t="shared" si="2"/>
        <v>0.03</v>
      </c>
      <c r="H39">
        <f t="shared" si="2"/>
        <v>3.0599999999999999E-2</v>
      </c>
      <c r="I39">
        <f t="shared" si="2"/>
        <v>3.2000000000000001E-2</v>
      </c>
      <c r="J39">
        <f t="shared" si="2"/>
        <v>5.8799999999999998E-2</v>
      </c>
      <c r="K39">
        <f t="shared" si="2"/>
        <v>0.11080000000000001</v>
      </c>
      <c r="L39">
        <f t="shared" si="2"/>
        <v>0.20946000000000004</v>
      </c>
    </row>
    <row r="40" spans="1:12" x14ac:dyDescent="0.25">
      <c r="A40" t="str">
        <f t="shared" si="1"/>
        <v xml:space="preserve">sse v1          </v>
      </c>
      <c r="B40">
        <f t="shared" si="2"/>
        <v>4.9186000000000007E-2</v>
      </c>
      <c r="C40">
        <f t="shared" si="2"/>
        <v>1.2356000000000001E-2</v>
      </c>
      <c r="D40">
        <f t="shared" si="2"/>
        <v>3.7999999999999999E-2</v>
      </c>
      <c r="E40">
        <f t="shared" si="2"/>
        <v>0.31900000000000001</v>
      </c>
      <c r="F40">
        <f t="shared" si="2"/>
        <v>3.7999999999999999E-2</v>
      </c>
      <c r="G40">
        <f t="shared" si="2"/>
        <v>3.7999999999999999E-2</v>
      </c>
      <c r="H40">
        <f t="shared" si="2"/>
        <v>3.9E-2</v>
      </c>
      <c r="I40">
        <f t="shared" si="2"/>
        <v>4.5799999999999993E-2</v>
      </c>
      <c r="J40">
        <f t="shared" si="2"/>
        <v>8.7999999999999995E-2</v>
      </c>
      <c r="K40">
        <f t="shared" si="2"/>
        <v>0.1754</v>
      </c>
      <c r="L40">
        <f t="shared" si="2"/>
        <v>0.30818000000000001</v>
      </c>
    </row>
    <row r="41" spans="1:12" x14ac:dyDescent="0.25">
      <c r="A41" t="str">
        <f t="shared" si="1"/>
        <v xml:space="preserve">sse v2          </v>
      </c>
      <c r="B41">
        <f t="shared" si="2"/>
        <v>2.9874000000000001E-2</v>
      </c>
      <c r="C41">
        <f t="shared" si="2"/>
        <v>6.6180000000000006E-3</v>
      </c>
      <c r="D41">
        <f t="shared" si="2"/>
        <v>2.4E-2</v>
      </c>
      <c r="E41">
        <f t="shared" si="2"/>
        <v>0.17040000000000002</v>
      </c>
      <c r="F41">
        <f t="shared" si="2"/>
        <v>2.4E-2</v>
      </c>
      <c r="G41">
        <f t="shared" si="2"/>
        <v>2.4E-2</v>
      </c>
      <c r="H41">
        <f t="shared" si="2"/>
        <v>2.5000000000000001E-2</v>
      </c>
      <c r="I41">
        <f t="shared" si="2"/>
        <v>2.8000000000000004E-2</v>
      </c>
      <c r="J41">
        <f t="shared" si="2"/>
        <v>5.3200000000000004E-2</v>
      </c>
      <c r="K41">
        <f t="shared" si="2"/>
        <v>0.12061000000000002</v>
      </c>
      <c r="L41">
        <f t="shared" si="2"/>
        <v>0.16938</v>
      </c>
    </row>
    <row r="42" spans="1:12" x14ac:dyDescent="0.25">
      <c r="A42" t="str">
        <f t="shared" si="1"/>
        <v xml:space="preserve">avx h           </v>
      </c>
      <c r="B42">
        <f t="shared" si="2"/>
        <v>1.9422000000000002E-2</v>
      </c>
      <c r="C42">
        <f t="shared" si="2"/>
        <v>4.8520000000000004E-3</v>
      </c>
      <c r="D42">
        <f t="shared" si="2"/>
        <v>1.6E-2</v>
      </c>
      <c r="E42">
        <f t="shared" si="2"/>
        <v>0.19140000000000001</v>
      </c>
      <c r="F42">
        <f t="shared" si="2"/>
        <v>1.6E-2</v>
      </c>
      <c r="G42">
        <f t="shared" si="2"/>
        <v>1.6400000000000001E-2</v>
      </c>
      <c r="H42">
        <f t="shared" si="2"/>
        <v>1.7000000000000001E-2</v>
      </c>
      <c r="I42">
        <f t="shared" si="2"/>
        <v>1.8200000000000001E-2</v>
      </c>
      <c r="J42">
        <f t="shared" si="2"/>
        <v>3.5799999999999998E-2</v>
      </c>
      <c r="K42">
        <f t="shared" si="2"/>
        <v>6.540399999999999E-2</v>
      </c>
      <c r="L42">
        <f t="shared" si="2"/>
        <v>0.18738000000000002</v>
      </c>
    </row>
  </sheetData>
  <conditionalFormatting sqref="B37:B42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7:C42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7:D42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7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7:F42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7:G42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7:H42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7:I42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7:J42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7:K42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7:L42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58A18-0158-4DF8-B0D4-7FC4EDFE6FF6}">
  <dimension ref="A1:M42"/>
  <sheetViews>
    <sheetView topLeftCell="A13" workbookViewId="0">
      <selection activeCell="C38" sqref="C38"/>
    </sheetView>
  </sheetViews>
  <sheetFormatPr defaultRowHeight="15" x14ac:dyDescent="0.25"/>
  <cols>
    <col min="1" max="1" width="11.5703125" bestFit="1" customWidth="1"/>
    <col min="2" max="2" width="13.85546875" customWidth="1"/>
    <col min="3" max="9" width="11.140625" bestFit="1" customWidth="1"/>
    <col min="10" max="12" width="12.140625" bestFit="1" customWidth="1"/>
  </cols>
  <sheetData>
    <row r="1" spans="1:12" x14ac:dyDescent="0.25">
      <c r="A1" t="s">
        <v>6</v>
      </c>
      <c r="B1" t="s">
        <v>7</v>
      </c>
      <c r="C1" t="s">
        <v>8</v>
      </c>
      <c r="D1" t="s">
        <v>9</v>
      </c>
      <c r="E1" t="s">
        <v>10</v>
      </c>
      <c r="F1" t="s">
        <v>11</v>
      </c>
      <c r="G1" t="s">
        <v>12</v>
      </c>
      <c r="H1" s="2" t="s">
        <v>13</v>
      </c>
      <c r="I1" s="2" t="s">
        <v>14</v>
      </c>
      <c r="J1" s="2" t="s">
        <v>15</v>
      </c>
      <c r="K1" t="s">
        <v>16</v>
      </c>
      <c r="L1" t="s">
        <v>17</v>
      </c>
    </row>
    <row r="2" spans="1:12" x14ac:dyDescent="0.25">
      <c r="A2" s="1" t="s">
        <v>0</v>
      </c>
      <c r="B2" s="4">
        <v>3.5790000000000002E-2</v>
      </c>
      <c r="C2" s="4">
        <v>7.3899999999999999E-3</v>
      </c>
      <c r="D2" s="4">
        <v>3.1E-2</v>
      </c>
      <c r="E2" s="4">
        <v>0.38900000000000001</v>
      </c>
      <c r="F2" s="4">
        <v>3.1E-2</v>
      </c>
      <c r="G2" s="4">
        <v>3.1E-2</v>
      </c>
      <c r="H2" s="4">
        <v>3.2000000000000001E-2</v>
      </c>
      <c r="I2" s="4">
        <v>3.3000000000000002E-2</v>
      </c>
      <c r="J2" s="4">
        <v>5.8000000000000003E-2</v>
      </c>
      <c r="K2" s="4">
        <v>0.152</v>
      </c>
      <c r="L2" s="4">
        <v>0.26900000000000002</v>
      </c>
    </row>
    <row r="3" spans="1:12" x14ac:dyDescent="0.25">
      <c r="A3" s="1" t="s">
        <v>1</v>
      </c>
      <c r="B3" s="4">
        <v>3.499E-2</v>
      </c>
      <c r="C3" s="4">
        <v>6.8700000000000002E-3</v>
      </c>
      <c r="D3" s="4">
        <v>0.03</v>
      </c>
      <c r="E3" s="4">
        <v>0.316</v>
      </c>
      <c r="F3" s="4">
        <v>0.03</v>
      </c>
      <c r="G3" s="4">
        <v>0.03</v>
      </c>
      <c r="H3" s="4">
        <v>3.1E-2</v>
      </c>
      <c r="I3" s="4">
        <v>3.2000000000000001E-2</v>
      </c>
      <c r="J3" s="4">
        <v>5.8000000000000003E-2</v>
      </c>
      <c r="K3" s="4">
        <v>0.106</v>
      </c>
      <c r="L3" s="4">
        <v>0.19500000000000001</v>
      </c>
    </row>
    <row r="4" spans="1:12" x14ac:dyDescent="0.25">
      <c r="A4" s="1" t="s">
        <v>2</v>
      </c>
      <c r="B4" s="4">
        <v>5.3100000000000001E-2</v>
      </c>
      <c r="C4" s="4">
        <v>1.366E-2</v>
      </c>
      <c r="D4" s="4">
        <v>3.9E-2</v>
      </c>
      <c r="E4" s="4">
        <v>0.68400000000000005</v>
      </c>
      <c r="F4" s="4">
        <v>3.9E-2</v>
      </c>
      <c r="G4" s="4">
        <v>0.04</v>
      </c>
      <c r="H4" s="4">
        <v>4.1000000000000002E-2</v>
      </c>
      <c r="I4" s="4">
        <v>4.9000000000000002E-2</v>
      </c>
      <c r="J4" s="4">
        <v>9.5000000000000001E-2</v>
      </c>
      <c r="K4" s="4">
        <v>0.17799999999999999</v>
      </c>
      <c r="L4" s="4">
        <v>0.36699999999999999</v>
      </c>
    </row>
    <row r="5" spans="1:12" x14ac:dyDescent="0.25">
      <c r="A5" s="1" t="s">
        <v>3</v>
      </c>
      <c r="B5" s="4">
        <v>2.7660000000000001E-2</v>
      </c>
      <c r="C5" s="4">
        <v>5.8700000000000002E-3</v>
      </c>
      <c r="D5" s="4">
        <v>2.1999999999999999E-2</v>
      </c>
      <c r="E5" s="4">
        <v>0.308</v>
      </c>
      <c r="F5" s="4">
        <v>2.1999999999999999E-2</v>
      </c>
      <c r="G5" s="4">
        <v>2.3E-2</v>
      </c>
      <c r="H5" s="4">
        <v>2.3E-2</v>
      </c>
      <c r="I5" s="4">
        <v>2.5999999999999999E-2</v>
      </c>
      <c r="J5" s="4">
        <v>4.9000000000000002E-2</v>
      </c>
      <c r="K5" s="4">
        <v>7.2999999999999995E-2</v>
      </c>
      <c r="L5" s="4">
        <v>0.17499999999999999</v>
      </c>
    </row>
    <row r="6" spans="1:12" x14ac:dyDescent="0.25">
      <c r="A6" s="1" t="s">
        <v>4</v>
      </c>
      <c r="B6" s="4">
        <v>1.9369999999999998E-2</v>
      </c>
      <c r="C6" s="4">
        <v>4.7099999999999998E-3</v>
      </c>
      <c r="D6" s="4">
        <v>1.6E-2</v>
      </c>
      <c r="E6" s="4">
        <v>0.30499999999999999</v>
      </c>
      <c r="F6" s="4">
        <v>1.6E-2</v>
      </c>
      <c r="G6" s="4">
        <v>1.7000000000000001E-2</v>
      </c>
      <c r="H6" s="4">
        <v>1.7000000000000001E-2</v>
      </c>
      <c r="I6" s="4">
        <v>1.7999999999999999E-2</v>
      </c>
      <c r="J6" s="4">
        <v>3.5000000000000003E-2</v>
      </c>
      <c r="K6" s="4">
        <v>5.7000000000000002E-2</v>
      </c>
      <c r="L6" s="4">
        <v>0.30099999999999999</v>
      </c>
    </row>
    <row r="7" spans="1:12" x14ac:dyDescent="0.25">
      <c r="A7" s="1" t="s">
        <v>5</v>
      </c>
      <c r="B7" s="4" t="s">
        <v>5</v>
      </c>
      <c r="C7" s="4" t="s">
        <v>5</v>
      </c>
      <c r="D7" s="4" t="s">
        <v>5</v>
      </c>
      <c r="E7" s="4" t="s">
        <v>5</v>
      </c>
      <c r="F7" s="4" t="s">
        <v>5</v>
      </c>
      <c r="G7" s="4" t="s">
        <v>5</v>
      </c>
      <c r="H7" s="4" t="s">
        <v>5</v>
      </c>
      <c r="I7" s="4" t="s">
        <v>5</v>
      </c>
      <c r="J7" s="4" t="s">
        <v>5</v>
      </c>
      <c r="K7" s="4" t="s">
        <v>5</v>
      </c>
      <c r="L7" s="4" t="s">
        <v>5</v>
      </c>
    </row>
    <row r="8" spans="1:12" x14ac:dyDescent="0.25">
      <c r="A8" s="1" t="s">
        <v>0</v>
      </c>
      <c r="B8" s="4">
        <v>3.5880000000000002E-2</v>
      </c>
      <c r="C8" s="4">
        <v>7.4900000000000001E-3</v>
      </c>
      <c r="D8" s="4">
        <v>3.1E-2</v>
      </c>
      <c r="E8" s="4">
        <v>0.32500000000000001</v>
      </c>
      <c r="F8" s="4">
        <v>3.1E-2</v>
      </c>
      <c r="G8" s="4">
        <v>3.1E-2</v>
      </c>
      <c r="H8" s="4">
        <v>3.1E-2</v>
      </c>
      <c r="I8" s="4">
        <v>3.3000000000000002E-2</v>
      </c>
      <c r="J8" s="4">
        <v>0.06</v>
      </c>
      <c r="K8" s="4">
        <v>0.15</v>
      </c>
      <c r="L8" s="4">
        <v>0.32400000000000001</v>
      </c>
    </row>
    <row r="9" spans="1:12" x14ac:dyDescent="0.25">
      <c r="A9" s="1" t="s">
        <v>1</v>
      </c>
      <c r="B9" s="4">
        <v>3.4930000000000003E-2</v>
      </c>
      <c r="C9" s="4">
        <v>7.8499999999999993E-3</v>
      </c>
      <c r="D9" s="4">
        <v>0.03</v>
      </c>
      <c r="E9" s="4">
        <v>0.38500000000000001</v>
      </c>
      <c r="F9" s="4">
        <v>0.03</v>
      </c>
      <c r="G9" s="4">
        <v>0.03</v>
      </c>
      <c r="H9" s="4">
        <v>0.03</v>
      </c>
      <c r="I9" s="4">
        <v>3.2000000000000001E-2</v>
      </c>
      <c r="J9" s="4">
        <v>0.06</v>
      </c>
      <c r="K9" s="4">
        <v>0.13400000000000001</v>
      </c>
      <c r="L9" s="4">
        <v>0.32500000000000001</v>
      </c>
    </row>
    <row r="10" spans="1:12" x14ac:dyDescent="0.25">
      <c r="A10" s="1" t="s">
        <v>2</v>
      </c>
      <c r="B10" s="4">
        <v>5.1749999999999997E-2</v>
      </c>
      <c r="C10" s="4">
        <v>1.289E-2</v>
      </c>
      <c r="D10" s="4">
        <v>3.9E-2</v>
      </c>
      <c r="E10" s="4">
        <v>0.40200000000000002</v>
      </c>
      <c r="F10" s="4">
        <v>3.9E-2</v>
      </c>
      <c r="G10" s="4">
        <v>0.04</v>
      </c>
      <c r="H10" s="4">
        <v>0.04</v>
      </c>
      <c r="I10" s="4">
        <v>4.8000000000000001E-2</v>
      </c>
      <c r="J10" s="4">
        <v>9.1999999999999998E-2</v>
      </c>
      <c r="K10" s="4">
        <v>0.17299999999999999</v>
      </c>
      <c r="L10" s="4">
        <v>0.32200000000000001</v>
      </c>
    </row>
    <row r="11" spans="1:12" x14ac:dyDescent="0.25">
      <c r="A11" s="1" t="s">
        <v>3</v>
      </c>
      <c r="B11" s="4">
        <v>2.7550000000000002E-2</v>
      </c>
      <c r="C11" s="4">
        <v>5.6299999999999996E-3</v>
      </c>
      <c r="D11" s="4">
        <v>2.1999999999999999E-2</v>
      </c>
      <c r="E11" s="4">
        <v>0.20300000000000001</v>
      </c>
      <c r="F11" s="4">
        <v>2.3E-2</v>
      </c>
      <c r="G11" s="4">
        <v>2.3E-2</v>
      </c>
      <c r="H11" s="4">
        <v>2.3E-2</v>
      </c>
      <c r="I11" s="4">
        <v>2.5999999999999999E-2</v>
      </c>
      <c r="J11" s="4">
        <v>4.8000000000000001E-2</v>
      </c>
      <c r="K11" s="4">
        <v>6.8000000000000005E-2</v>
      </c>
      <c r="L11" s="4">
        <v>0.188</v>
      </c>
    </row>
    <row r="12" spans="1:12" x14ac:dyDescent="0.25">
      <c r="A12" s="1" t="s">
        <v>4</v>
      </c>
      <c r="B12" s="4">
        <v>2.0029999999999999E-2</v>
      </c>
      <c r="C12" s="4">
        <v>4.7000000000000002E-3</v>
      </c>
      <c r="D12" s="4">
        <v>1.7000000000000001E-2</v>
      </c>
      <c r="E12" s="4">
        <v>0.32900000000000001</v>
      </c>
      <c r="F12" s="4">
        <v>1.7000000000000001E-2</v>
      </c>
      <c r="G12" s="4">
        <v>1.7000000000000001E-2</v>
      </c>
      <c r="H12" s="4">
        <v>1.7000000000000001E-2</v>
      </c>
      <c r="I12" s="4">
        <v>1.9E-2</v>
      </c>
      <c r="J12" s="4">
        <v>3.7999999999999999E-2</v>
      </c>
      <c r="K12" s="4">
        <v>5.5E-2</v>
      </c>
      <c r="L12" s="4">
        <v>0.17899999999999999</v>
      </c>
    </row>
    <row r="13" spans="1:12" x14ac:dyDescent="0.25">
      <c r="A13" s="1" t="s">
        <v>5</v>
      </c>
      <c r="B13" s="4" t="s">
        <v>5</v>
      </c>
      <c r="C13" s="4" t="s">
        <v>5</v>
      </c>
      <c r="D13" s="4" t="s">
        <v>5</v>
      </c>
      <c r="E13" s="4" t="s">
        <v>5</v>
      </c>
      <c r="F13" s="4" t="s">
        <v>5</v>
      </c>
      <c r="G13" s="4" t="s">
        <v>5</v>
      </c>
      <c r="H13" s="4" t="s">
        <v>5</v>
      </c>
      <c r="I13" s="4" t="s">
        <v>5</v>
      </c>
      <c r="J13" s="4" t="s">
        <v>5</v>
      </c>
      <c r="K13" s="4" t="s">
        <v>5</v>
      </c>
      <c r="L13" s="4" t="s">
        <v>5</v>
      </c>
    </row>
    <row r="14" spans="1:12" x14ac:dyDescent="0.25">
      <c r="A14" s="1" t="s">
        <v>0</v>
      </c>
      <c r="B14" s="4">
        <v>3.5540000000000002E-2</v>
      </c>
      <c r="C14" s="4">
        <v>7.2100000000000003E-3</v>
      </c>
      <c r="D14" s="4">
        <v>3.1E-2</v>
      </c>
      <c r="E14" s="4">
        <v>0.32900000000000001</v>
      </c>
      <c r="F14" s="4">
        <v>3.1E-2</v>
      </c>
      <c r="G14" s="4">
        <v>3.1E-2</v>
      </c>
      <c r="H14" s="4">
        <v>3.1E-2</v>
      </c>
      <c r="I14" s="4">
        <v>3.3000000000000002E-2</v>
      </c>
      <c r="J14" s="4">
        <v>5.8999999999999997E-2</v>
      </c>
      <c r="K14" s="4">
        <v>0.152</v>
      </c>
      <c r="L14" s="4">
        <v>0.32400000000000001</v>
      </c>
    </row>
    <row r="15" spans="1:12" x14ac:dyDescent="0.25">
      <c r="A15" s="1" t="s">
        <v>1</v>
      </c>
      <c r="B15" s="4">
        <v>3.4700000000000002E-2</v>
      </c>
      <c r="C15" s="4">
        <v>6.9800000000000001E-3</v>
      </c>
      <c r="D15" s="4">
        <v>0.03</v>
      </c>
      <c r="E15" s="4">
        <v>0.317</v>
      </c>
      <c r="F15" s="4">
        <v>0.03</v>
      </c>
      <c r="G15" s="4">
        <v>0.03</v>
      </c>
      <c r="H15" s="4">
        <v>3.1E-2</v>
      </c>
      <c r="I15" s="4">
        <v>3.2000000000000001E-2</v>
      </c>
      <c r="J15" s="4">
        <v>5.8000000000000003E-2</v>
      </c>
      <c r="K15" s="4">
        <v>0.13400000000000001</v>
      </c>
      <c r="L15" s="4">
        <v>0.24399999999999999</v>
      </c>
    </row>
    <row r="16" spans="1:12" x14ac:dyDescent="0.25">
      <c r="A16" s="1" t="s">
        <v>2</v>
      </c>
      <c r="B16" s="4">
        <v>5.169E-2</v>
      </c>
      <c r="C16" s="4">
        <v>1.316E-2</v>
      </c>
      <c r="D16" s="4">
        <v>3.9E-2</v>
      </c>
      <c r="E16" s="4">
        <v>0.33900000000000002</v>
      </c>
      <c r="F16" s="4">
        <v>3.9E-2</v>
      </c>
      <c r="G16" s="4">
        <v>3.9E-2</v>
      </c>
      <c r="H16" s="4">
        <v>0.04</v>
      </c>
      <c r="I16" s="4">
        <v>4.8000000000000001E-2</v>
      </c>
      <c r="J16" s="4">
        <v>9.2999999999999999E-2</v>
      </c>
      <c r="K16" s="4">
        <v>0.17599999999999999</v>
      </c>
      <c r="L16" s="4">
        <v>0.308</v>
      </c>
    </row>
    <row r="17" spans="1:12" x14ac:dyDescent="0.25">
      <c r="A17" s="1" t="s">
        <v>3</v>
      </c>
      <c r="B17" s="4">
        <v>2.743E-2</v>
      </c>
      <c r="C17" s="4">
        <v>5.9800000000000001E-3</v>
      </c>
      <c r="D17" s="4">
        <v>2.3E-2</v>
      </c>
      <c r="E17" s="4">
        <v>0.32400000000000001</v>
      </c>
      <c r="F17" s="4">
        <v>2.3E-2</v>
      </c>
      <c r="G17" s="4">
        <v>2.3E-2</v>
      </c>
      <c r="H17" s="4">
        <v>2.3E-2</v>
      </c>
      <c r="I17" s="4">
        <v>2.5999999999999999E-2</v>
      </c>
      <c r="J17" s="4">
        <v>4.9000000000000002E-2</v>
      </c>
      <c r="K17" s="4">
        <v>8.3000000000000004E-2</v>
      </c>
      <c r="L17" s="4">
        <v>0.252</v>
      </c>
    </row>
    <row r="18" spans="1:12" x14ac:dyDescent="0.25">
      <c r="A18" s="1" t="s">
        <v>4</v>
      </c>
      <c r="B18" s="4">
        <v>1.9789999999999999E-2</v>
      </c>
      <c r="C18" s="4">
        <v>5.2599999999999999E-3</v>
      </c>
      <c r="D18" s="4">
        <v>1.7000000000000001E-2</v>
      </c>
      <c r="E18" s="4">
        <v>0.30199999999999999</v>
      </c>
      <c r="F18" s="4">
        <v>1.7000000000000001E-2</v>
      </c>
      <c r="G18" s="4">
        <v>1.7000000000000001E-2</v>
      </c>
      <c r="H18" s="4">
        <v>1.7000000000000001E-2</v>
      </c>
      <c r="I18" s="4">
        <v>1.7999999999999999E-2</v>
      </c>
      <c r="J18" s="4">
        <v>3.7999999999999999E-2</v>
      </c>
      <c r="K18" s="4">
        <v>7.1999999999999995E-2</v>
      </c>
      <c r="L18" s="4">
        <v>0.188</v>
      </c>
    </row>
    <row r="19" spans="1:12" x14ac:dyDescent="0.25">
      <c r="A19" s="1" t="s">
        <v>5</v>
      </c>
      <c r="B19" s="4" t="s">
        <v>5</v>
      </c>
      <c r="C19" s="4" t="s">
        <v>5</v>
      </c>
      <c r="D19" s="4" t="s">
        <v>5</v>
      </c>
      <c r="E19" s="4" t="s">
        <v>5</v>
      </c>
      <c r="F19" s="4" t="s">
        <v>5</v>
      </c>
      <c r="G19" s="4" t="s">
        <v>5</v>
      </c>
      <c r="H19" s="4" t="s">
        <v>5</v>
      </c>
      <c r="I19" s="4" t="s">
        <v>5</v>
      </c>
      <c r="J19" s="4" t="s">
        <v>5</v>
      </c>
      <c r="K19" s="4" t="s">
        <v>5</v>
      </c>
      <c r="L19" s="4" t="s">
        <v>5</v>
      </c>
    </row>
    <row r="20" spans="1:12" x14ac:dyDescent="0.25">
      <c r="A20" s="1" t="s">
        <v>0</v>
      </c>
      <c r="B20" s="4">
        <v>3.5680000000000003E-2</v>
      </c>
      <c r="C20" s="4">
        <v>7.0800000000000004E-3</v>
      </c>
      <c r="D20" s="4">
        <v>3.1E-2</v>
      </c>
      <c r="E20" s="4">
        <v>0.32200000000000001</v>
      </c>
      <c r="F20" s="4">
        <v>3.1E-2</v>
      </c>
      <c r="G20" s="4">
        <v>3.1E-2</v>
      </c>
      <c r="H20" s="4">
        <v>3.1E-2</v>
      </c>
      <c r="I20" s="4">
        <v>3.3000000000000002E-2</v>
      </c>
      <c r="J20" s="4">
        <v>5.8999999999999997E-2</v>
      </c>
      <c r="K20" s="4">
        <v>0.13100000000000001</v>
      </c>
      <c r="L20" s="4">
        <v>0.31900000000000001</v>
      </c>
    </row>
    <row r="21" spans="1:12" x14ac:dyDescent="0.25">
      <c r="A21" s="1" t="s">
        <v>1</v>
      </c>
      <c r="B21" s="4">
        <v>3.4770000000000002E-2</v>
      </c>
      <c r="C21" s="4">
        <v>7.0000000000000001E-3</v>
      </c>
      <c r="D21" s="4">
        <v>0.03</v>
      </c>
      <c r="E21" s="4">
        <v>0.21299999999999999</v>
      </c>
      <c r="F21" s="4">
        <v>0.03</v>
      </c>
      <c r="G21" s="4">
        <v>0.03</v>
      </c>
      <c r="H21" s="4">
        <v>3.1E-2</v>
      </c>
      <c r="I21" s="4">
        <v>3.2000000000000001E-2</v>
      </c>
      <c r="J21" s="4">
        <v>5.8000000000000003E-2</v>
      </c>
      <c r="K21" s="4">
        <v>0.14499999999999999</v>
      </c>
      <c r="L21" s="4">
        <v>0.193</v>
      </c>
    </row>
    <row r="22" spans="1:12" x14ac:dyDescent="0.25">
      <c r="A22" s="1" t="s">
        <v>2</v>
      </c>
      <c r="B22" s="4">
        <v>5.2139999999999999E-2</v>
      </c>
      <c r="C22" s="4">
        <v>1.329E-2</v>
      </c>
      <c r="D22" s="4">
        <v>3.9E-2</v>
      </c>
      <c r="E22" s="4">
        <v>0.35599999999999998</v>
      </c>
      <c r="F22" s="4">
        <v>3.9E-2</v>
      </c>
      <c r="G22" s="4">
        <v>0.04</v>
      </c>
      <c r="H22" s="4">
        <v>0.04</v>
      </c>
      <c r="I22" s="4">
        <v>4.9000000000000002E-2</v>
      </c>
      <c r="J22" s="4">
        <v>9.4E-2</v>
      </c>
      <c r="K22" s="4">
        <v>0.17399999999999999</v>
      </c>
      <c r="L22" s="4">
        <v>0.34399999999999997</v>
      </c>
    </row>
    <row r="23" spans="1:12" x14ac:dyDescent="0.25">
      <c r="A23" s="1" t="s">
        <v>3</v>
      </c>
      <c r="B23" s="4">
        <v>2.7349999999999999E-2</v>
      </c>
      <c r="C23" s="4">
        <v>5.6499999999999996E-3</v>
      </c>
      <c r="D23" s="4">
        <v>2.1999999999999999E-2</v>
      </c>
      <c r="E23" s="4">
        <v>0.315</v>
      </c>
      <c r="F23" s="4">
        <v>2.3E-2</v>
      </c>
      <c r="G23" s="4">
        <v>2.3E-2</v>
      </c>
      <c r="H23" s="4">
        <v>2.3E-2</v>
      </c>
      <c r="I23" s="4">
        <v>2.5999999999999999E-2</v>
      </c>
      <c r="J23" s="4">
        <v>4.8000000000000001E-2</v>
      </c>
      <c r="K23" s="4">
        <v>6.7000000000000004E-2</v>
      </c>
      <c r="L23" s="4">
        <v>0.183</v>
      </c>
    </row>
    <row r="24" spans="1:12" x14ac:dyDescent="0.25">
      <c r="A24" s="1" t="s">
        <v>4</v>
      </c>
      <c r="B24" s="4">
        <v>1.967E-2</v>
      </c>
      <c r="C24" s="4">
        <v>4.7299999999999998E-3</v>
      </c>
      <c r="D24" s="4">
        <v>1.6E-2</v>
      </c>
      <c r="E24" s="4">
        <v>0.309</v>
      </c>
      <c r="F24" s="4">
        <v>1.7000000000000001E-2</v>
      </c>
      <c r="G24" s="4">
        <v>1.7000000000000001E-2</v>
      </c>
      <c r="H24" s="4">
        <v>1.7000000000000001E-2</v>
      </c>
      <c r="I24" s="4">
        <v>1.7999999999999999E-2</v>
      </c>
      <c r="J24" s="4">
        <v>3.6999999999999998E-2</v>
      </c>
      <c r="K24" s="4">
        <v>5.5E-2</v>
      </c>
      <c r="L24" s="4">
        <v>0.18099999999999999</v>
      </c>
    </row>
    <row r="25" spans="1:12" x14ac:dyDescent="0.25">
      <c r="A25" s="1" t="s">
        <v>5</v>
      </c>
      <c r="B25" s="4" t="s">
        <v>5</v>
      </c>
      <c r="C25" s="4" t="s">
        <v>5</v>
      </c>
      <c r="D25" s="4" t="s">
        <v>5</v>
      </c>
      <c r="E25" s="4" t="s">
        <v>5</v>
      </c>
      <c r="F25" s="4" t="s">
        <v>5</v>
      </c>
      <c r="G25" s="4" t="s">
        <v>5</v>
      </c>
      <c r="H25" s="4" t="s">
        <v>5</v>
      </c>
      <c r="I25" s="4" t="s">
        <v>5</v>
      </c>
      <c r="J25" s="4" t="s">
        <v>5</v>
      </c>
      <c r="K25" s="4" t="s">
        <v>5</v>
      </c>
      <c r="L25" s="4" t="s">
        <v>5</v>
      </c>
    </row>
    <row r="26" spans="1:12" x14ac:dyDescent="0.25">
      <c r="A26" s="1" t="s">
        <v>0</v>
      </c>
      <c r="B26" s="4">
        <v>3.6229999999999998E-2</v>
      </c>
      <c r="C26" s="4">
        <v>6.5500000000000003E-3</v>
      </c>
      <c r="D26" s="4">
        <v>3.1E-2</v>
      </c>
      <c r="E26" s="4">
        <v>0.193</v>
      </c>
      <c r="F26" s="4">
        <v>3.1E-2</v>
      </c>
      <c r="G26" s="4">
        <v>3.1E-2</v>
      </c>
      <c r="H26" s="4">
        <v>3.2000000000000001E-2</v>
      </c>
      <c r="I26" s="4">
        <v>3.3000000000000002E-2</v>
      </c>
      <c r="J26" s="4">
        <v>0.06</v>
      </c>
      <c r="K26" s="4">
        <v>8.3000000000000004E-2</v>
      </c>
      <c r="L26" s="4">
        <v>0.18099999999999999</v>
      </c>
    </row>
    <row r="27" spans="1:12" x14ac:dyDescent="0.25">
      <c r="A27" s="1" t="s">
        <v>1</v>
      </c>
      <c r="B27" s="4">
        <v>3.533E-2</v>
      </c>
      <c r="C27" s="4">
        <v>6.7299999999999999E-3</v>
      </c>
      <c r="D27" s="4">
        <v>0.03</v>
      </c>
      <c r="E27" s="4">
        <v>0.314</v>
      </c>
      <c r="F27" s="4">
        <v>0.03</v>
      </c>
      <c r="G27" s="4">
        <v>0.03</v>
      </c>
      <c r="H27" s="4">
        <v>3.1E-2</v>
      </c>
      <c r="I27" s="4">
        <v>3.2000000000000001E-2</v>
      </c>
      <c r="J27" s="4">
        <v>5.8999999999999997E-2</v>
      </c>
      <c r="K27" s="4">
        <v>7.9000000000000001E-2</v>
      </c>
      <c r="L27" s="4">
        <v>0.31</v>
      </c>
    </row>
    <row r="28" spans="1:12" x14ac:dyDescent="0.25">
      <c r="A28" s="1" t="s">
        <v>2</v>
      </c>
      <c r="B28" s="4">
        <v>5.1310000000000001E-2</v>
      </c>
      <c r="C28" s="4">
        <v>1.23E-2</v>
      </c>
      <c r="D28" s="4">
        <v>3.9E-2</v>
      </c>
      <c r="E28" s="4">
        <v>0.33600000000000002</v>
      </c>
      <c r="F28" s="4">
        <v>3.9E-2</v>
      </c>
      <c r="G28" s="4">
        <v>0.04</v>
      </c>
      <c r="H28" s="4">
        <v>0.04</v>
      </c>
      <c r="I28" s="4">
        <v>4.8000000000000001E-2</v>
      </c>
      <c r="J28" s="4">
        <v>9.1999999999999998E-2</v>
      </c>
      <c r="K28" s="4">
        <v>0.14000000000000001</v>
      </c>
      <c r="L28" s="4">
        <v>0.23400000000000001</v>
      </c>
    </row>
    <row r="29" spans="1:12" x14ac:dyDescent="0.25">
      <c r="A29" s="1" t="s">
        <v>3</v>
      </c>
      <c r="B29" s="4">
        <v>2.8549999999999999E-2</v>
      </c>
      <c r="C29" s="4">
        <v>5.8700000000000002E-3</v>
      </c>
      <c r="D29" s="4">
        <v>2.3E-2</v>
      </c>
      <c r="E29" s="4">
        <v>0.19</v>
      </c>
      <c r="F29" s="4">
        <v>2.3E-2</v>
      </c>
      <c r="G29" s="4">
        <v>2.3E-2</v>
      </c>
      <c r="H29" s="4">
        <v>2.4E-2</v>
      </c>
      <c r="I29" s="4">
        <v>2.5999999999999999E-2</v>
      </c>
      <c r="J29" s="4">
        <v>4.9000000000000002E-2</v>
      </c>
      <c r="K29" s="4">
        <v>6.8000000000000005E-2</v>
      </c>
      <c r="L29" s="4">
        <v>0.182</v>
      </c>
    </row>
    <row r="30" spans="1:12" x14ac:dyDescent="0.25">
      <c r="A30" s="1" t="s">
        <v>4</v>
      </c>
      <c r="B30" s="4">
        <v>2.0310000000000002E-2</v>
      </c>
      <c r="C30" s="4">
        <v>4.8199999999999996E-3</v>
      </c>
      <c r="D30" s="4">
        <v>1.7000000000000001E-2</v>
      </c>
      <c r="E30" s="4">
        <v>0.30299999999999999</v>
      </c>
      <c r="F30" s="4">
        <v>1.7000000000000001E-2</v>
      </c>
      <c r="G30" s="4">
        <v>1.7000000000000001E-2</v>
      </c>
      <c r="H30" s="4">
        <v>1.7000000000000001E-2</v>
      </c>
      <c r="I30" s="4">
        <v>1.9E-2</v>
      </c>
      <c r="J30" s="4">
        <v>3.7999999999999999E-2</v>
      </c>
      <c r="K30" s="4">
        <v>5.7000000000000002E-2</v>
      </c>
      <c r="L30" s="4">
        <v>0.17</v>
      </c>
    </row>
    <row r="32" spans="1:12" x14ac:dyDescent="0.25">
      <c r="A32" t="str">
        <f>A2</f>
        <v xml:space="preserve">normal          </v>
      </c>
      <c r="B32">
        <f>AVERAGE(B2,B8,B14,B20,B26)</f>
        <v>3.5824000000000002E-2</v>
      </c>
      <c r="C32">
        <f t="shared" ref="C32:L32" si="0">AVERAGE(C2,C8,C14,C20,C26)</f>
        <v>7.1440000000000002E-3</v>
      </c>
      <c r="D32">
        <f t="shared" si="0"/>
        <v>3.1E-2</v>
      </c>
      <c r="E32">
        <f t="shared" si="0"/>
        <v>0.31159999999999999</v>
      </c>
      <c r="F32">
        <f t="shared" si="0"/>
        <v>3.1E-2</v>
      </c>
      <c r="G32">
        <f t="shared" si="0"/>
        <v>3.1E-2</v>
      </c>
      <c r="H32">
        <f t="shared" si="0"/>
        <v>3.1399999999999997E-2</v>
      </c>
      <c r="I32">
        <f t="shared" si="0"/>
        <v>3.3000000000000002E-2</v>
      </c>
      <c r="J32">
        <f t="shared" si="0"/>
        <v>5.9199999999999996E-2</v>
      </c>
      <c r="K32">
        <f t="shared" si="0"/>
        <v>0.1336</v>
      </c>
      <c r="L32">
        <f t="shared" si="0"/>
        <v>0.28339999999999999</v>
      </c>
    </row>
    <row r="33" spans="1:13" x14ac:dyDescent="0.25">
      <c r="A33" t="str">
        <f t="shared" ref="A33:A36" si="1">A3</f>
        <v xml:space="preserve">iter            </v>
      </c>
      <c r="B33">
        <f t="shared" ref="B33:L36" si="2">AVERAGE(B3,B9,B15,B21,B27)</f>
        <v>3.4944000000000003E-2</v>
      </c>
      <c r="C33">
        <f t="shared" si="2"/>
        <v>7.0860000000000003E-3</v>
      </c>
      <c r="D33">
        <f t="shared" si="2"/>
        <v>0.03</v>
      </c>
      <c r="E33">
        <f t="shared" si="2"/>
        <v>0.30900000000000005</v>
      </c>
      <c r="F33">
        <f t="shared" si="2"/>
        <v>0.03</v>
      </c>
      <c r="G33">
        <f t="shared" si="2"/>
        <v>0.03</v>
      </c>
      <c r="H33">
        <f t="shared" si="2"/>
        <v>3.0800000000000001E-2</v>
      </c>
      <c r="I33">
        <f t="shared" si="2"/>
        <v>3.2000000000000001E-2</v>
      </c>
      <c r="J33">
        <f t="shared" si="2"/>
        <v>5.8599999999999999E-2</v>
      </c>
      <c r="K33">
        <f t="shared" si="2"/>
        <v>0.1196</v>
      </c>
      <c r="L33">
        <f t="shared" si="2"/>
        <v>0.25340000000000001</v>
      </c>
    </row>
    <row r="34" spans="1:13" x14ac:dyDescent="0.25">
      <c r="A34" t="str">
        <f t="shared" si="1"/>
        <v xml:space="preserve">sse v1          </v>
      </c>
      <c r="B34">
        <f t="shared" si="2"/>
        <v>5.1998000000000003E-2</v>
      </c>
      <c r="C34">
        <f t="shared" si="2"/>
        <v>1.3060000000000002E-2</v>
      </c>
      <c r="D34">
        <f t="shared" si="2"/>
        <v>3.9E-2</v>
      </c>
      <c r="E34">
        <f t="shared" si="2"/>
        <v>0.4234</v>
      </c>
      <c r="F34">
        <f t="shared" si="2"/>
        <v>3.9E-2</v>
      </c>
      <c r="G34">
        <f t="shared" si="2"/>
        <v>3.9800000000000002E-2</v>
      </c>
      <c r="H34">
        <f t="shared" si="2"/>
        <v>4.02E-2</v>
      </c>
      <c r="I34">
        <f t="shared" si="2"/>
        <v>4.8399999999999999E-2</v>
      </c>
      <c r="J34">
        <f t="shared" si="2"/>
        <v>9.3199999999999991E-2</v>
      </c>
      <c r="K34">
        <f t="shared" si="2"/>
        <v>0.16819999999999996</v>
      </c>
      <c r="L34">
        <f t="shared" si="2"/>
        <v>0.31500000000000006</v>
      </c>
    </row>
    <row r="35" spans="1:13" x14ac:dyDescent="0.25">
      <c r="A35" t="str">
        <f t="shared" si="1"/>
        <v xml:space="preserve">sse v2          </v>
      </c>
      <c r="B35">
        <f t="shared" si="2"/>
        <v>2.7708E-2</v>
      </c>
      <c r="C35">
        <f t="shared" si="2"/>
        <v>5.7999999999999996E-3</v>
      </c>
      <c r="D35">
        <f t="shared" si="2"/>
        <v>2.2399999999999996E-2</v>
      </c>
      <c r="E35">
        <f t="shared" si="2"/>
        <v>0.26799999999999996</v>
      </c>
      <c r="F35">
        <f t="shared" si="2"/>
        <v>2.2799999999999997E-2</v>
      </c>
      <c r="G35">
        <f t="shared" si="2"/>
        <v>2.3E-2</v>
      </c>
      <c r="H35">
        <f t="shared" si="2"/>
        <v>2.3199999999999998E-2</v>
      </c>
      <c r="I35">
        <f t="shared" si="2"/>
        <v>2.6000000000000002E-2</v>
      </c>
      <c r="J35">
        <f t="shared" si="2"/>
        <v>4.8599999999999997E-2</v>
      </c>
      <c r="K35">
        <f t="shared" si="2"/>
        <v>7.1800000000000003E-2</v>
      </c>
      <c r="L35">
        <f t="shared" si="2"/>
        <v>0.19600000000000001</v>
      </c>
    </row>
    <row r="36" spans="1:13" x14ac:dyDescent="0.25">
      <c r="A36" t="str">
        <f t="shared" si="1"/>
        <v xml:space="preserve">avx h           </v>
      </c>
      <c r="B36">
        <f t="shared" si="2"/>
        <v>1.9833999999999997E-2</v>
      </c>
      <c r="C36">
        <f t="shared" si="2"/>
        <v>4.8439999999999993E-3</v>
      </c>
      <c r="D36">
        <f t="shared" si="2"/>
        <v>1.66E-2</v>
      </c>
      <c r="E36">
        <f t="shared" si="2"/>
        <v>0.30959999999999999</v>
      </c>
      <c r="F36">
        <f t="shared" si="2"/>
        <v>1.6800000000000002E-2</v>
      </c>
      <c r="G36">
        <f t="shared" si="2"/>
        <v>1.7000000000000001E-2</v>
      </c>
      <c r="H36">
        <f t="shared" si="2"/>
        <v>1.7000000000000001E-2</v>
      </c>
      <c r="I36">
        <f t="shared" si="2"/>
        <v>1.84E-2</v>
      </c>
      <c r="J36">
        <f t="shared" si="2"/>
        <v>3.7200000000000004E-2</v>
      </c>
      <c r="K36">
        <f t="shared" si="2"/>
        <v>5.9199999999999996E-2</v>
      </c>
      <c r="L36">
        <f t="shared" si="2"/>
        <v>0.20379999999999998</v>
      </c>
    </row>
    <row r="37" spans="1:13" x14ac:dyDescent="0.25">
      <c r="C37" t="s">
        <v>18</v>
      </c>
    </row>
    <row r="38" spans="1:13" x14ac:dyDescent="0.25">
      <c r="A38" t="s">
        <v>0</v>
      </c>
      <c r="B38" s="5">
        <v>3.5824000000000002E-2</v>
      </c>
      <c r="C38" s="5">
        <f>D38/B38</f>
        <v>0.19941938365341669</v>
      </c>
      <c r="D38">
        <v>7.1440000000000002E-3</v>
      </c>
      <c r="E38" s="3">
        <v>3.1E-2</v>
      </c>
      <c r="F38">
        <v>0.31159999999999999</v>
      </c>
      <c r="G38" s="3">
        <v>3.1E-2</v>
      </c>
      <c r="H38" s="3">
        <v>3.1E-2</v>
      </c>
      <c r="I38">
        <v>3.1399999999999997E-2</v>
      </c>
      <c r="J38" s="3">
        <v>3.3000000000000002E-2</v>
      </c>
      <c r="K38">
        <v>5.9199999999999996E-2</v>
      </c>
      <c r="L38">
        <v>0.1336</v>
      </c>
      <c r="M38">
        <v>0.28339999999999999</v>
      </c>
    </row>
    <row r="39" spans="1:13" x14ac:dyDescent="0.25">
      <c r="A39" t="s">
        <v>1</v>
      </c>
      <c r="B39">
        <v>3.4944000000000003E-2</v>
      </c>
      <c r="C39" s="5">
        <f t="shared" ref="C39:C42" si="3">D39/B39</f>
        <v>0.20278159340659341</v>
      </c>
      <c r="D39">
        <v>7.0860000000000003E-3</v>
      </c>
      <c r="E39" s="3">
        <v>0.03</v>
      </c>
      <c r="F39" s="3">
        <v>0.30900000000000005</v>
      </c>
      <c r="G39" s="3">
        <v>0.03</v>
      </c>
      <c r="H39" s="3">
        <v>0.03</v>
      </c>
      <c r="I39">
        <v>3.0800000000000001E-2</v>
      </c>
      <c r="J39" s="3">
        <v>3.2000000000000001E-2</v>
      </c>
      <c r="K39">
        <v>5.8599999999999999E-2</v>
      </c>
      <c r="L39">
        <v>0.1196</v>
      </c>
      <c r="M39">
        <v>0.25340000000000001</v>
      </c>
    </row>
    <row r="40" spans="1:13" x14ac:dyDescent="0.25">
      <c r="A40" t="s">
        <v>2</v>
      </c>
      <c r="B40">
        <v>5.1998000000000003E-2</v>
      </c>
      <c r="C40" s="5">
        <f t="shared" si="3"/>
        <v>0.25116350628870343</v>
      </c>
      <c r="D40">
        <v>1.3060000000000002E-2</v>
      </c>
      <c r="E40" s="3">
        <v>3.9E-2</v>
      </c>
      <c r="F40">
        <v>0.4234</v>
      </c>
      <c r="G40" s="3">
        <v>3.9E-2</v>
      </c>
      <c r="H40">
        <v>3.9800000000000002E-2</v>
      </c>
      <c r="I40">
        <v>4.02E-2</v>
      </c>
      <c r="J40">
        <v>4.8399999999999999E-2</v>
      </c>
      <c r="K40">
        <v>9.3199999999999991E-2</v>
      </c>
      <c r="L40">
        <v>0.16819999999999996</v>
      </c>
      <c r="M40" s="3">
        <v>0.31500000000000006</v>
      </c>
    </row>
    <row r="41" spans="1:13" x14ac:dyDescent="0.25">
      <c r="A41" t="s">
        <v>3</v>
      </c>
      <c r="B41">
        <v>2.7708E-2</v>
      </c>
      <c r="C41" s="5">
        <f t="shared" si="3"/>
        <v>0.20932582647610798</v>
      </c>
      <c r="D41">
        <v>5.7999999999999996E-3</v>
      </c>
      <c r="E41">
        <v>2.2399999999999996E-2</v>
      </c>
      <c r="F41" s="3">
        <v>0.26799999999999996</v>
      </c>
      <c r="G41">
        <v>2.2799999999999997E-2</v>
      </c>
      <c r="H41" s="3">
        <v>2.3E-2</v>
      </c>
      <c r="I41">
        <v>2.3199999999999998E-2</v>
      </c>
      <c r="J41" s="3">
        <v>2.6000000000000002E-2</v>
      </c>
      <c r="K41">
        <v>4.8599999999999997E-2</v>
      </c>
      <c r="L41">
        <v>7.1800000000000003E-2</v>
      </c>
      <c r="M41" s="3">
        <v>0.19600000000000001</v>
      </c>
    </row>
    <row r="42" spans="1:13" x14ac:dyDescent="0.25">
      <c r="A42" t="s">
        <v>4</v>
      </c>
      <c r="B42" s="5">
        <v>1.9834000000000001E-2</v>
      </c>
      <c r="C42" s="5">
        <f t="shared" si="3"/>
        <v>0.24422708480387209</v>
      </c>
      <c r="D42">
        <v>4.8439999999999993E-3</v>
      </c>
      <c r="E42">
        <v>1.66E-2</v>
      </c>
      <c r="F42">
        <v>0.30959999999999999</v>
      </c>
      <c r="G42">
        <v>1.6800000000000002E-2</v>
      </c>
      <c r="H42" s="3">
        <v>1.7000000000000001E-2</v>
      </c>
      <c r="I42" s="3">
        <v>1.7000000000000001E-2</v>
      </c>
      <c r="J42">
        <v>1.84E-2</v>
      </c>
      <c r="K42">
        <v>3.7200000000000004E-2</v>
      </c>
      <c r="L42">
        <v>5.9199999999999996E-2</v>
      </c>
      <c r="M42">
        <v>0.20379999999999998</v>
      </c>
    </row>
  </sheetData>
  <conditionalFormatting sqref="B32:B36">
    <cfRule type="colorScale" priority="1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D32:D36">
    <cfRule type="colorScale" priority="1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32:E36">
    <cfRule type="colorScale" priority="9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F32:F36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32:G36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32:H36">
    <cfRule type="colorScale" priority="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I32:I36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J32:J36"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K32:K3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L32:L36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C32:C36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8317294-BA08-43B1-B50E-6D37DD06485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!bench (5)</vt:lpstr>
      <vt:lpstr>!bench (4)</vt:lpstr>
      <vt:lpstr>!bench (3)</vt:lpstr>
      <vt:lpstr>!bench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baka</dc:creator>
  <cp:lastModifiedBy>baka</cp:lastModifiedBy>
  <dcterms:created xsi:type="dcterms:W3CDTF">2026-05-09T16:08:13Z</dcterms:created>
  <dcterms:modified xsi:type="dcterms:W3CDTF">2026-05-12T13:45:06Z</dcterms:modified>
</cp:coreProperties>
</file>